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3e4d670a294e2f/Desktop/"/>
    </mc:Choice>
  </mc:AlternateContent>
  <xr:revisionPtr revIDLastSave="659" documentId="8_{039044F2-94C4-4D18-BFF4-3CCB7CEE91B0}" xr6:coauthVersionLast="47" xr6:coauthVersionMax="47" xr10:uidLastSave="{A7D39092-DC88-4EDE-A49D-575C018EE616}"/>
  <bookViews>
    <workbookView xWindow="-108" yWindow="-108" windowWidth="23256" windowHeight="12456" activeTab="3" xr2:uid="{00000000-000D-0000-FFFF-FFFF00000000}"/>
  </bookViews>
  <sheets>
    <sheet name="Row_Data" sheetId="1" r:id="rId1"/>
    <sheet name="Formulas &amp; Functions" sheetId="2" r:id="rId2"/>
    <sheet name="Pivot" sheetId="4" r:id="rId3"/>
    <sheet name="Charts" sheetId="3" r:id="rId4"/>
  </sheets>
  <definedNames>
    <definedName name="_xlnm._FilterDatabase" localSheetId="1" hidden="1">'Formulas &amp; Functions'!$A$1:$K$201</definedName>
    <definedName name="_xlchart.v2.0" hidden="1">'Formulas &amp; Functions'!$D$2:$D$201</definedName>
    <definedName name="_xlchart.v2.1" hidden="1">'Formulas &amp; Functions'!$H$1</definedName>
    <definedName name="_xlchart.v2.2" hidden="1">'Formulas &amp; Functions'!$H$2:$H$201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K3" i="2" s="1"/>
  <c r="H4" i="2"/>
  <c r="J4" i="2" s="1"/>
  <c r="H5" i="2"/>
  <c r="J5" i="2" s="1"/>
  <c r="H6" i="2"/>
  <c r="J6" i="2" s="1"/>
  <c r="H7" i="2"/>
  <c r="J7" i="2" s="1"/>
  <c r="H8" i="2"/>
  <c r="J8" i="2" s="1"/>
  <c r="H9" i="2"/>
  <c r="K9" i="2" s="1"/>
  <c r="H10" i="2"/>
  <c r="K10" i="2" s="1"/>
  <c r="H11" i="2"/>
  <c r="K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K17" i="2" s="1"/>
  <c r="H18" i="2"/>
  <c r="K18" i="2" s="1"/>
  <c r="H19" i="2"/>
  <c r="K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K26" i="2" s="1"/>
  <c r="H27" i="2"/>
  <c r="K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K33" i="2" s="1"/>
  <c r="H34" i="2"/>
  <c r="K34" i="2" s="1"/>
  <c r="H35" i="2"/>
  <c r="K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K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K49" i="2" s="1"/>
  <c r="H50" i="2"/>
  <c r="K50" i="2" s="1"/>
  <c r="H51" i="2"/>
  <c r="K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K57" i="2" s="1"/>
  <c r="H58" i="2"/>
  <c r="K58" i="2" s="1"/>
  <c r="H59" i="2"/>
  <c r="K59" i="2" s="1"/>
  <c r="H60" i="2"/>
  <c r="J60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K67" i="2" s="1"/>
  <c r="H68" i="2"/>
  <c r="J68" i="2" s="1"/>
  <c r="H69" i="2"/>
  <c r="J69" i="2" s="1"/>
  <c r="H70" i="2"/>
  <c r="J70" i="2" s="1"/>
  <c r="H71" i="2"/>
  <c r="J71" i="2" s="1"/>
  <c r="H72" i="2"/>
  <c r="J72" i="2" s="1"/>
  <c r="H73" i="2"/>
  <c r="K73" i="2" s="1"/>
  <c r="H74" i="2"/>
  <c r="K74" i="2" s="1"/>
  <c r="H75" i="2"/>
  <c r="K75" i="2" s="1"/>
  <c r="H76" i="2"/>
  <c r="J76" i="2" s="1"/>
  <c r="H77" i="2"/>
  <c r="J77" i="2" s="1"/>
  <c r="H78" i="2"/>
  <c r="J78" i="2" s="1"/>
  <c r="H79" i="2"/>
  <c r="J79" i="2" s="1"/>
  <c r="H80" i="2"/>
  <c r="J80" i="2" s="1"/>
  <c r="H81" i="2"/>
  <c r="K81" i="2" s="1"/>
  <c r="H82" i="2"/>
  <c r="K82" i="2" s="1"/>
  <c r="H83" i="2"/>
  <c r="K83" i="2" s="1"/>
  <c r="H84" i="2"/>
  <c r="J84" i="2" s="1"/>
  <c r="H85" i="2"/>
  <c r="J85" i="2" s="1"/>
  <c r="H86" i="2"/>
  <c r="J86" i="2" s="1"/>
  <c r="H87" i="2"/>
  <c r="J87" i="2" s="1"/>
  <c r="H88" i="2"/>
  <c r="J88" i="2" s="1"/>
  <c r="H89" i="2"/>
  <c r="J89" i="2" s="1"/>
  <c r="H90" i="2"/>
  <c r="K90" i="2" s="1"/>
  <c r="H91" i="2"/>
  <c r="K91" i="2" s="1"/>
  <c r="H92" i="2"/>
  <c r="J92" i="2" s="1"/>
  <c r="H93" i="2"/>
  <c r="J93" i="2" s="1"/>
  <c r="H94" i="2"/>
  <c r="J94" i="2" s="1"/>
  <c r="H95" i="2"/>
  <c r="J95" i="2" s="1"/>
  <c r="H96" i="2"/>
  <c r="J96" i="2" s="1"/>
  <c r="H97" i="2"/>
  <c r="K97" i="2" s="1"/>
  <c r="H98" i="2"/>
  <c r="K98" i="2" s="1"/>
  <c r="H99" i="2"/>
  <c r="K99" i="2" s="1"/>
  <c r="H100" i="2"/>
  <c r="J100" i="2" s="1"/>
  <c r="H101" i="2"/>
  <c r="J101" i="2" s="1"/>
  <c r="H102" i="2"/>
  <c r="J102" i="2" s="1"/>
  <c r="H103" i="2"/>
  <c r="J103" i="2" s="1"/>
  <c r="H104" i="2"/>
  <c r="J104" i="2" s="1"/>
  <c r="H105" i="2"/>
  <c r="J105" i="2" s="1"/>
  <c r="H106" i="2"/>
  <c r="J106" i="2" s="1"/>
  <c r="H107" i="2"/>
  <c r="K107" i="2" s="1"/>
  <c r="H108" i="2"/>
  <c r="J108" i="2" s="1"/>
  <c r="H109" i="2"/>
  <c r="J109" i="2" s="1"/>
  <c r="H110" i="2"/>
  <c r="J110" i="2" s="1"/>
  <c r="H111" i="2"/>
  <c r="J111" i="2" s="1"/>
  <c r="H112" i="2"/>
  <c r="J112" i="2" s="1"/>
  <c r="H113" i="2"/>
  <c r="K113" i="2" s="1"/>
  <c r="H114" i="2"/>
  <c r="K114" i="2" s="1"/>
  <c r="H115" i="2"/>
  <c r="K115" i="2" s="1"/>
  <c r="H116" i="2"/>
  <c r="J116" i="2" s="1"/>
  <c r="H117" i="2"/>
  <c r="J117" i="2" s="1"/>
  <c r="H118" i="2"/>
  <c r="J118" i="2" s="1"/>
  <c r="H119" i="2"/>
  <c r="J119" i="2" s="1"/>
  <c r="H120" i="2"/>
  <c r="J120" i="2" s="1"/>
  <c r="H121" i="2"/>
  <c r="K121" i="2" s="1"/>
  <c r="H122" i="2"/>
  <c r="K122" i="2" s="1"/>
  <c r="H123" i="2"/>
  <c r="K123" i="2" s="1"/>
  <c r="H124" i="2"/>
  <c r="J124" i="2" s="1"/>
  <c r="H125" i="2"/>
  <c r="J125" i="2" s="1"/>
  <c r="H126" i="2"/>
  <c r="J126" i="2" s="1"/>
  <c r="H127" i="2"/>
  <c r="J127" i="2" s="1"/>
  <c r="H128" i="2"/>
  <c r="J128" i="2" s="1"/>
  <c r="H129" i="2"/>
  <c r="J129" i="2" s="1"/>
  <c r="H130" i="2"/>
  <c r="J130" i="2" s="1"/>
  <c r="H131" i="2"/>
  <c r="K131" i="2" s="1"/>
  <c r="H132" i="2"/>
  <c r="J132" i="2" s="1"/>
  <c r="H133" i="2"/>
  <c r="J133" i="2" s="1"/>
  <c r="H134" i="2"/>
  <c r="J134" i="2" s="1"/>
  <c r="H135" i="2"/>
  <c r="J135" i="2" s="1"/>
  <c r="H136" i="2"/>
  <c r="J136" i="2" s="1"/>
  <c r="H137" i="2"/>
  <c r="K137" i="2" s="1"/>
  <c r="H138" i="2"/>
  <c r="K138" i="2" s="1"/>
  <c r="H139" i="2"/>
  <c r="K139" i="2" s="1"/>
  <c r="H140" i="2"/>
  <c r="J140" i="2" s="1"/>
  <c r="H141" i="2"/>
  <c r="J141" i="2" s="1"/>
  <c r="H142" i="2"/>
  <c r="J142" i="2" s="1"/>
  <c r="H143" i="2"/>
  <c r="J143" i="2" s="1"/>
  <c r="H144" i="2"/>
  <c r="J144" i="2" s="1"/>
  <c r="H145" i="2"/>
  <c r="K145" i="2" s="1"/>
  <c r="H146" i="2"/>
  <c r="J146" i="2" s="1"/>
  <c r="H147" i="2"/>
  <c r="K147" i="2" s="1"/>
  <c r="H148" i="2"/>
  <c r="J148" i="2" s="1"/>
  <c r="H149" i="2"/>
  <c r="J149" i="2" s="1"/>
  <c r="H150" i="2"/>
  <c r="J150" i="2" s="1"/>
  <c r="H151" i="2"/>
  <c r="J151" i="2" s="1"/>
  <c r="H152" i="2"/>
  <c r="J152" i="2" s="1"/>
  <c r="H153" i="2"/>
  <c r="J153" i="2" s="1"/>
  <c r="H154" i="2"/>
  <c r="K154" i="2" s="1"/>
  <c r="H155" i="2"/>
  <c r="K155" i="2" s="1"/>
  <c r="H156" i="2"/>
  <c r="J156" i="2" s="1"/>
  <c r="H157" i="2"/>
  <c r="J157" i="2" s="1"/>
  <c r="H158" i="2"/>
  <c r="J158" i="2" s="1"/>
  <c r="H159" i="2"/>
  <c r="J159" i="2" s="1"/>
  <c r="H160" i="2"/>
  <c r="J160" i="2" s="1"/>
  <c r="H161" i="2"/>
  <c r="K161" i="2" s="1"/>
  <c r="H162" i="2"/>
  <c r="K162" i="2" s="1"/>
  <c r="H163" i="2"/>
  <c r="K163" i="2" s="1"/>
  <c r="H164" i="2"/>
  <c r="J164" i="2" s="1"/>
  <c r="H165" i="2"/>
  <c r="J165" i="2" s="1"/>
  <c r="H166" i="2"/>
  <c r="J166" i="2" s="1"/>
  <c r="H167" i="2"/>
  <c r="J167" i="2" s="1"/>
  <c r="H168" i="2"/>
  <c r="J168" i="2" s="1"/>
  <c r="H169" i="2"/>
  <c r="J169" i="2" s="1"/>
  <c r="H170" i="2"/>
  <c r="J170" i="2" s="1"/>
  <c r="H171" i="2"/>
  <c r="K171" i="2" s="1"/>
  <c r="H172" i="2"/>
  <c r="J172" i="2" s="1"/>
  <c r="H173" i="2"/>
  <c r="J173" i="2" s="1"/>
  <c r="H174" i="2"/>
  <c r="J174" i="2" s="1"/>
  <c r="H175" i="2"/>
  <c r="J175" i="2" s="1"/>
  <c r="H176" i="2"/>
  <c r="J176" i="2" s="1"/>
  <c r="H177" i="2"/>
  <c r="K177" i="2" s="1"/>
  <c r="H178" i="2"/>
  <c r="K178" i="2" s="1"/>
  <c r="H179" i="2"/>
  <c r="K179" i="2" s="1"/>
  <c r="H180" i="2"/>
  <c r="J180" i="2" s="1"/>
  <c r="H181" i="2"/>
  <c r="J181" i="2" s="1"/>
  <c r="H182" i="2"/>
  <c r="J182" i="2" s="1"/>
  <c r="H183" i="2"/>
  <c r="J183" i="2" s="1"/>
  <c r="H184" i="2"/>
  <c r="J184" i="2" s="1"/>
  <c r="H185" i="2"/>
  <c r="K185" i="2" s="1"/>
  <c r="H186" i="2"/>
  <c r="K186" i="2" s="1"/>
  <c r="H187" i="2"/>
  <c r="K187" i="2" s="1"/>
  <c r="H188" i="2"/>
  <c r="J188" i="2" s="1"/>
  <c r="H189" i="2"/>
  <c r="J189" i="2" s="1"/>
  <c r="H190" i="2"/>
  <c r="J190" i="2" s="1"/>
  <c r="H191" i="2"/>
  <c r="J191" i="2" s="1"/>
  <c r="H192" i="2"/>
  <c r="J192" i="2" s="1"/>
  <c r="H193" i="2"/>
  <c r="J193" i="2" s="1"/>
  <c r="H194" i="2"/>
  <c r="J194" i="2" s="1"/>
  <c r="H195" i="2"/>
  <c r="K195" i="2" s="1"/>
  <c r="H196" i="2"/>
  <c r="J196" i="2" s="1"/>
  <c r="H197" i="2"/>
  <c r="J197" i="2" s="1"/>
  <c r="H198" i="2"/>
  <c r="J198" i="2" s="1"/>
  <c r="H199" i="2"/>
  <c r="J199" i="2" s="1"/>
  <c r="H200" i="2"/>
  <c r="J200" i="2" s="1"/>
  <c r="H201" i="2"/>
  <c r="K201" i="2" s="1"/>
  <c r="H2" i="2"/>
  <c r="P21" i="2" s="1"/>
  <c r="O43" i="2"/>
  <c r="O42" i="2"/>
  <c r="O41" i="2"/>
  <c r="O40" i="2"/>
  <c r="O39" i="2"/>
  <c r="O38" i="2"/>
  <c r="O37" i="2"/>
  <c r="O36" i="2"/>
  <c r="O35" i="2"/>
  <c r="P32" i="2"/>
  <c r="P31" i="2"/>
  <c r="P30" i="2"/>
  <c r="P29" i="2"/>
  <c r="P28" i="2"/>
  <c r="P27" i="2"/>
  <c r="P24" i="2"/>
  <c r="P23" i="2"/>
  <c r="P22" i="2"/>
  <c r="P17" i="2"/>
  <c r="P16" i="2"/>
  <c r="P15" i="2"/>
  <c r="P14" i="2"/>
  <c r="P13" i="2"/>
  <c r="P12" i="2"/>
  <c r="P11" i="2"/>
  <c r="P10" i="2"/>
  <c r="P9" i="2"/>
  <c r="P8" i="2"/>
  <c r="P7" i="2"/>
  <c r="J98" i="2" l="1"/>
  <c r="J82" i="2"/>
  <c r="J75" i="2"/>
  <c r="J11" i="2"/>
  <c r="K194" i="2"/>
  <c r="K176" i="2"/>
  <c r="K170" i="2"/>
  <c r="J122" i="2"/>
  <c r="K146" i="2"/>
  <c r="J59" i="2"/>
  <c r="J186" i="2"/>
  <c r="J58" i="2"/>
  <c r="K128" i="2"/>
  <c r="J35" i="2"/>
  <c r="K65" i="2"/>
  <c r="J123" i="2"/>
  <c r="J34" i="2"/>
  <c r="K42" i="2"/>
  <c r="J145" i="2"/>
  <c r="K112" i="2"/>
  <c r="K64" i="2"/>
  <c r="J187" i="2"/>
  <c r="J139" i="2"/>
  <c r="J81" i="2"/>
  <c r="J18" i="2"/>
  <c r="K169" i="2"/>
  <c r="K106" i="2"/>
  <c r="K48" i="2"/>
  <c r="J17" i="2"/>
  <c r="K153" i="2"/>
  <c r="K105" i="2"/>
  <c r="J185" i="2"/>
  <c r="K152" i="2"/>
  <c r="K41" i="2"/>
  <c r="J121" i="2"/>
  <c r="K88" i="2"/>
  <c r="K25" i="2"/>
  <c r="J163" i="2"/>
  <c r="J57" i="2"/>
  <c r="K193" i="2"/>
  <c r="K130" i="2"/>
  <c r="K24" i="2"/>
  <c r="K89" i="2"/>
  <c r="J162" i="2"/>
  <c r="J99" i="2"/>
  <c r="K192" i="2"/>
  <c r="K129" i="2"/>
  <c r="K66" i="2"/>
  <c r="J179" i="2"/>
  <c r="J161" i="2"/>
  <c r="J138" i="2"/>
  <c r="J115" i="2"/>
  <c r="J97" i="2"/>
  <c r="J74" i="2"/>
  <c r="J51" i="2"/>
  <c r="J33" i="2"/>
  <c r="J10" i="2"/>
  <c r="K168" i="2"/>
  <c r="K104" i="2"/>
  <c r="K40" i="2"/>
  <c r="J201" i="2"/>
  <c r="J178" i="2"/>
  <c r="J155" i="2"/>
  <c r="J137" i="2"/>
  <c r="J114" i="2"/>
  <c r="J91" i="2"/>
  <c r="J73" i="2"/>
  <c r="J50" i="2"/>
  <c r="J27" i="2"/>
  <c r="J9" i="2"/>
  <c r="K144" i="2"/>
  <c r="K80" i="2"/>
  <c r="K16" i="2"/>
  <c r="J195" i="2"/>
  <c r="J177" i="2"/>
  <c r="J154" i="2"/>
  <c r="J131" i="2"/>
  <c r="J113" i="2"/>
  <c r="J90" i="2"/>
  <c r="J67" i="2"/>
  <c r="J49" i="2"/>
  <c r="J26" i="2"/>
  <c r="J3" i="2"/>
  <c r="K184" i="2"/>
  <c r="K120" i="2"/>
  <c r="K56" i="2"/>
  <c r="J171" i="2"/>
  <c r="J107" i="2"/>
  <c r="J43" i="2"/>
  <c r="K160" i="2"/>
  <c r="K96" i="2"/>
  <c r="K32" i="2"/>
  <c r="J147" i="2"/>
  <c r="J83" i="2"/>
  <c r="J19" i="2"/>
  <c r="K200" i="2"/>
  <c r="K136" i="2"/>
  <c r="K72" i="2"/>
  <c r="K8" i="2"/>
  <c r="K199" i="2"/>
  <c r="K191" i="2"/>
  <c r="K183" i="2"/>
  <c r="K175" i="2"/>
  <c r="K167" i="2"/>
  <c r="K159" i="2"/>
  <c r="K151" i="2"/>
  <c r="K143" i="2"/>
  <c r="K135" i="2"/>
  <c r="K127" i="2"/>
  <c r="K119" i="2"/>
  <c r="K111" i="2"/>
  <c r="K103" i="2"/>
  <c r="K95" i="2"/>
  <c r="K87" i="2"/>
  <c r="K79" i="2"/>
  <c r="K71" i="2"/>
  <c r="K63" i="2"/>
  <c r="K55" i="2"/>
  <c r="K47" i="2"/>
  <c r="K39" i="2"/>
  <c r="K31" i="2"/>
  <c r="K23" i="2"/>
  <c r="K15" i="2"/>
  <c r="K7" i="2"/>
  <c r="K198" i="2"/>
  <c r="K190" i="2"/>
  <c r="K182" i="2"/>
  <c r="K174" i="2"/>
  <c r="K166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K197" i="2"/>
  <c r="K189" i="2"/>
  <c r="K181" i="2"/>
  <c r="K173" i="2"/>
  <c r="K165" i="2"/>
  <c r="K157" i="2"/>
  <c r="K149" i="2"/>
  <c r="K141" i="2"/>
  <c r="K133" i="2"/>
  <c r="K125" i="2"/>
  <c r="K117" i="2"/>
  <c r="K109" i="2"/>
  <c r="K101" i="2"/>
  <c r="K93" i="2"/>
  <c r="K85" i="2"/>
  <c r="K77" i="2"/>
  <c r="K69" i="2"/>
  <c r="K61" i="2"/>
  <c r="K53" i="2"/>
  <c r="K45" i="2"/>
  <c r="K37" i="2"/>
  <c r="K29" i="2"/>
  <c r="K21" i="2"/>
  <c r="K13" i="2"/>
  <c r="K5" i="2"/>
  <c r="K196" i="2"/>
  <c r="K188" i="2"/>
  <c r="K180" i="2"/>
  <c r="K172" i="2"/>
  <c r="K164" i="2"/>
  <c r="K156" i="2"/>
  <c r="K148" i="2"/>
  <c r="K140" i="2"/>
  <c r="K132" i="2"/>
  <c r="K124" i="2"/>
  <c r="K116" i="2"/>
  <c r="K108" i="2"/>
  <c r="K100" i="2"/>
  <c r="K92" i="2"/>
  <c r="K84" i="2"/>
  <c r="K76" i="2"/>
  <c r="K68" i="2"/>
  <c r="K60" i="2"/>
  <c r="K52" i="2"/>
  <c r="K44" i="2"/>
  <c r="K36" i="2"/>
  <c r="K28" i="2"/>
  <c r="K20" i="2"/>
  <c r="K12" i="2"/>
  <c r="K4" i="2"/>
  <c r="J2" i="2"/>
  <c r="K2" i="2"/>
  <c r="P20" i="2"/>
</calcChain>
</file>

<file path=xl/sharedStrings.xml><?xml version="1.0" encoding="utf-8"?>
<sst xmlns="http://schemas.openxmlformats.org/spreadsheetml/2006/main" count="2127" uniqueCount="480">
  <si>
    <t>Order_ID</t>
  </si>
  <si>
    <t>Order_Date</t>
  </si>
  <si>
    <t>Customer_Name</t>
  </si>
  <si>
    <t>Region</t>
  </si>
  <si>
    <t>Product_Category</t>
  </si>
  <si>
    <t>Quantity</t>
  </si>
  <si>
    <t>Unit_Price</t>
  </si>
  <si>
    <t>Total_Sales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</si>
  <si>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</si>
  <si>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</si>
  <si>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</si>
  <si>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</si>
  <si>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</si>
  <si>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</si>
  <si>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</si>
  <si>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</si>
  <si>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</si>
  <si>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</si>
  <si>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</si>
  <si>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</si>
  <si>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</si>
  <si>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</si>
  <si>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</si>
  <si>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</si>
  <si>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</si>
  <si>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</si>
  <si>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</si>
  <si>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</si>
  <si>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</si>
  <si>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</si>
  <si>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</si>
  <si>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</si>
  <si>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</si>
  <si>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</si>
  <si>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</si>
  <si>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</si>
  <si>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</si>
  <si>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</si>
  <si>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</si>
  <si>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</si>
  <si>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</si>
  <si>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</si>
  <si>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</si>
  <si>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</si>
  <si>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</si>
  <si>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</si>
  <si>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</si>
  <si>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</si>
  <si>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</si>
  <si>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</si>
  <si>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</si>
  <si>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</si>
  <si>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</si>
  <si>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</si>
  <si>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</si>
  <si>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</si>
  <si>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</si>
  <si>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</si>
  <si>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</si>
  <si>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</si>
  <si>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</si>
  <si>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</si>
  <si>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</si>
  <si>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</si>
  <si>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</si>
  <si>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</si>
  <si>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</si>
  <si>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</si>
  <si>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</si>
  <si>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</si>
  <si>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</si>
  <si>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</si>
  <si>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</si>
  <si>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</si>
  <si>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</si>
  <si>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</si>
  <si>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</si>
  <si>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</si>
  <si>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</si>
  <si>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</si>
  <si>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</si>
  <si>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</si>
  <si>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</si>
  <si>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</si>
  <si>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</si>
  <si>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</si>
  <si>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</si>
  <si>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</si>
  <si>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</si>
  <si>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</si>
  <si>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</si>
  <si>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</si>
  <si>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</si>
  <si>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</si>
  <si>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</si>
  <si>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</si>
  <si>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</si>
  <si>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</si>
  <si>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</si>
  <si>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</si>
  <si>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</si>
  <si>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</si>
  <si>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</si>
  <si>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</si>
  <si>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</si>
  <si>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</si>
  <si>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</si>
  <si>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</si>
  <si>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</si>
  <si>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</si>
  <si>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</si>
  <si>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</si>
  <si>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</si>
  <si>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</si>
  <si>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</si>
  <si>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</si>
  <si>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</si>
  <si>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</si>
  <si>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</si>
  <si>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</si>
  <si>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</si>
  <si>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</si>
  <si>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</si>
  <si>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</si>
  <si>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</si>
  <si>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</si>
  <si>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</si>
  <si>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</si>
  <si>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</si>
  <si>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</si>
  <si>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</si>
  <si>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</si>
  <si>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</si>
  <si>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</si>
  <si>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</si>
  <si>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</si>
  <si>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</si>
  <si>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</si>
  <si>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</si>
  <si>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</si>
  <si>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</si>
  <si>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</si>
  <si>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</si>
  <si>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</si>
  <si>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</si>
  <si>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</si>
  <si>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</si>
  <si>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</si>
  <si>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</si>
  <si>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</si>
  <si>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</si>
  <si>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</si>
  <si>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</si>
  <si>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</si>
  <si>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</si>
  <si>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</si>
  <si>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</si>
  <si>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</si>
  <si>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</si>
  <si>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</si>
  <si>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</si>
  <si>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</si>
  <si>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</si>
  <si>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</si>
  <si>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</si>
  <si>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</si>
  <si>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</si>
  <si>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</si>
  <si>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</si>
  <si>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</si>
  <si>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</si>
  <si>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</si>
  <si>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</si>
  <si>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</si>
  <si>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</si>
  <si>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</si>
  <si>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</si>
  <si>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</si>
  <si>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</si>
  <si>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</si>
  <si>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</si>
  <si>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</si>
  <si>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</si>
  <si>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</si>
  <si>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</si>
  <si>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</si>
  <si>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</si>
  <si>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</si>
  <si>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</si>
  <si>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</si>
  <si>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</si>
  <si>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</si>
  <si>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</si>
  <si>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</si>
  <si>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</si>
  <si>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</si>
  <si>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</si>
  <si>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</si>
  <si>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</si>
  <si>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</si>
  <si>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</si>
  <si>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</si>
  <si>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</si>
  <si>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</si>
  <si>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</si>
  <si>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</si>
  <si>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</si>
  <si>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</si>
  <si>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16-10-2024</t>
  </si>
  <si>
    <t>23-05-2023</t>
  </si>
  <si>
    <t>02-02-2023</t>
  </si>
  <si>
    <t>08-09-2024</t>
  </si>
  <si>
    <t>04-04-2024</t>
  </si>
  <si>
    <t>15-12-2023</t>
  </si>
  <si>
    <t>05-04-2023</t>
  </si>
  <si>
    <t>14-02-2023</t>
  </si>
  <si>
    <t>22-03-2023</t>
  </si>
  <si>
    <t>16-07-2023</t>
  </si>
  <si>
    <t>23-03-2023</t>
  </si>
  <si>
    <t>09-04-2024</t>
  </si>
  <si>
    <t>03-08-2023</t>
  </si>
  <si>
    <t>30-06-2024</t>
  </si>
  <si>
    <t>04-10-2023</t>
  </si>
  <si>
    <t>05-08-2023</t>
  </si>
  <si>
    <t>20-10-2024</t>
  </si>
  <si>
    <t>28-07-2024</t>
  </si>
  <si>
    <t>13-02-2024</t>
  </si>
  <si>
    <t>04-04-2023</t>
  </si>
  <si>
    <t>08-03-2024</t>
  </si>
  <si>
    <t>25-06-2024</t>
  </si>
  <si>
    <t>18-10-2024</t>
  </si>
  <si>
    <t>19-04-2023</t>
  </si>
  <si>
    <t>06-06-2023</t>
  </si>
  <si>
    <t>05-09-2024</t>
  </si>
  <si>
    <t>11-11-2023</t>
  </si>
  <si>
    <t>29-03-2023</t>
  </si>
  <si>
    <t>12-05-2023</t>
  </si>
  <si>
    <t>24-06-2024</t>
  </si>
  <si>
    <t>16-11-2023</t>
  </si>
  <si>
    <t>04-05-2023</t>
  </si>
  <si>
    <t>25-08-2024</t>
  </si>
  <si>
    <t>14-03-2023</t>
  </si>
  <si>
    <t>05-12-2023</t>
  </si>
  <si>
    <t>06-07-2024</t>
  </si>
  <si>
    <t>14-07-2023</t>
  </si>
  <si>
    <t>25-02-2024</t>
  </si>
  <si>
    <t>14-12-2023</t>
  </si>
  <si>
    <t>03-07-2024</t>
  </si>
  <si>
    <t>18-04-2024</t>
  </si>
  <si>
    <t>21-02-2023</t>
  </si>
  <si>
    <t>21-02-2024</t>
  </si>
  <si>
    <t>18-06-2023</t>
  </si>
  <si>
    <t>20-10-2023</t>
  </si>
  <si>
    <t>11-08-2023</t>
  </si>
  <si>
    <t>21-08-2024</t>
  </si>
  <si>
    <t>10-07-2023</t>
  </si>
  <si>
    <t>06-08-2024</t>
  </si>
  <si>
    <t>20-08-2024</t>
  </si>
  <si>
    <t>02-09-2023</t>
  </si>
  <si>
    <t>20-11-2023</t>
  </si>
  <si>
    <t>13-04-2023</t>
  </si>
  <si>
    <t>24-12-2023</t>
  </si>
  <si>
    <t>11-06-2023</t>
  </si>
  <si>
    <t>21-07-2024</t>
  </si>
  <si>
    <t>20-04-2023</t>
  </si>
  <si>
    <t>18-12-2023</t>
  </si>
  <si>
    <t>22-02-2023</t>
  </si>
  <si>
    <t>08-12-2023</t>
  </si>
  <si>
    <t>18-07-2024</t>
  </si>
  <si>
    <t>19-03-2023</t>
  </si>
  <si>
    <t>19-08-2024</t>
  </si>
  <si>
    <t>12-11-2023</t>
  </si>
  <si>
    <t>16-04-2023</t>
  </si>
  <si>
    <t>16-06-2023</t>
  </si>
  <si>
    <t>07-12-2023</t>
  </si>
  <si>
    <t>21-04-2023</t>
  </si>
  <si>
    <t>16-04-2024</t>
  </si>
  <si>
    <t>17-07-2023</t>
  </si>
  <si>
    <t>26-12-2023</t>
  </si>
  <si>
    <t>29-04-2023</t>
  </si>
  <si>
    <t>09-02-2023</t>
  </si>
  <si>
    <t>12-09-2024</t>
  </si>
  <si>
    <t>18-09-2023</t>
  </si>
  <si>
    <t>21-07-2023</t>
  </si>
  <si>
    <t>08-05-2023</t>
  </si>
  <si>
    <t>01-12-2023</t>
  </si>
  <si>
    <t>06-03-2024</t>
  </si>
  <si>
    <t>05-11-2023</t>
  </si>
  <si>
    <t>16-03-2024</t>
  </si>
  <si>
    <t>07-08-2023</t>
  </si>
  <si>
    <t>11-06-2024</t>
  </si>
  <si>
    <t>19-08-2023</t>
  </si>
  <si>
    <t>08-09-2023</t>
  </si>
  <si>
    <t>19-07-2023</t>
  </si>
  <si>
    <t>01-06-2023</t>
  </si>
  <si>
    <t>30-06-2023</t>
  </si>
  <si>
    <t>05-05-2023</t>
  </si>
  <si>
    <t>01-09-2024</t>
  </si>
  <si>
    <t>15-07-2024</t>
  </si>
  <si>
    <t>11-09-2023</t>
  </si>
  <si>
    <t>09-10-2023</t>
  </si>
  <si>
    <t>10-12-2023</t>
  </si>
  <si>
    <t>28-01-2024</t>
  </si>
  <si>
    <t>22-02-2024</t>
  </si>
  <si>
    <t>07-01-2023</t>
  </si>
  <si>
    <t>13-07-2024</t>
  </si>
  <si>
    <t>22-03-2024</t>
  </si>
  <si>
    <t>19-06-2023</t>
  </si>
  <si>
    <t>28-01-2023</t>
  </si>
  <si>
    <t>27-03-2023</t>
  </si>
  <si>
    <t>25-03-2023</t>
  </si>
  <si>
    <t>18-08-2023</t>
  </si>
  <si>
    <t>24-07-2023</t>
  </si>
  <si>
    <t>10-05-2023</t>
  </si>
  <si>
    <t>20-09-2023</t>
  </si>
  <si>
    <t>17-06-2023</t>
  </si>
  <si>
    <t>12-08-2024</t>
  </si>
  <si>
    <t>29-08-2024</t>
  </si>
  <si>
    <t>02-08-2024</t>
  </si>
  <si>
    <t>15-01-2024</t>
  </si>
  <si>
    <t>21-04-2024</t>
  </si>
  <si>
    <t>13-10-2023</t>
  </si>
  <si>
    <t>16-09-2024</t>
  </si>
  <si>
    <t>29-11-2023</t>
  </si>
  <si>
    <t>15-07-2023</t>
  </si>
  <si>
    <t>04-09-2023</t>
  </si>
  <si>
    <t>06-04-2023</t>
  </si>
  <si>
    <t>18-08-2024</t>
  </si>
  <si>
    <t>11-03-2024</t>
  </si>
  <si>
    <t>10-11-2023</t>
  </si>
  <si>
    <t>03-05-2023</t>
  </si>
  <si>
    <t>11-10-2023</t>
  </si>
  <si>
    <t>21-08-2023</t>
  </si>
  <si>
    <t>19-10-2023</t>
  </si>
  <si>
    <t>18-05-2024</t>
  </si>
  <si>
    <t>08-11-2023</t>
  </si>
  <si>
    <t>29-03-2024</t>
  </si>
  <si>
    <t>10-06-2023</t>
  </si>
  <si>
    <t>26-10-2023</t>
  </si>
  <si>
    <t>15-03-2023</t>
  </si>
  <si>
    <t>23-10-2023</t>
  </si>
  <si>
    <t>06-10-2023</t>
  </si>
  <si>
    <t>18-03-2024</t>
  </si>
  <si>
    <t>29-06-2023</t>
  </si>
  <si>
    <t>23-02-2024</t>
  </si>
  <si>
    <t>26-02-2024</t>
  </si>
  <si>
    <t>07-02-2023</t>
  </si>
  <si>
    <t>29-09-2024</t>
  </si>
  <si>
    <t>01-10-2023</t>
  </si>
  <si>
    <t>15-01-2023</t>
  </si>
  <si>
    <t>17-04-2024</t>
  </si>
  <si>
    <t>07-10-2023</t>
  </si>
  <si>
    <t>20-05-2023</t>
  </si>
  <si>
    <t>03-06-2024</t>
  </si>
  <si>
    <t>16-05-2024</t>
  </si>
  <si>
    <t>20-12-2023</t>
  </si>
  <si>
    <t>22-11-2023</t>
  </si>
  <si>
    <t>22-05-2024</t>
  </si>
  <si>
    <t>16-01-2023</t>
  </si>
  <si>
    <t>25-04-2024</t>
  </si>
  <si>
    <t>27-10-2024</t>
  </si>
  <si>
    <t>03-10-2024</t>
  </si>
  <si>
    <t>29-08-2023</t>
  </si>
  <si>
    <t>11-04-2023</t>
  </si>
  <si>
    <t>30-01-2023</t>
  </si>
  <si>
    <t>19-01-2024</t>
  </si>
  <si>
    <t>19-09-2023</t>
  </si>
  <si>
    <t>29-01-2024</t>
  </si>
  <si>
    <t>08-08-2024</t>
  </si>
  <si>
    <t>24-08-2023</t>
  </si>
  <si>
    <t>21-05-2023</t>
  </si>
  <si>
    <t>04-02-2023</t>
  </si>
  <si>
    <t>24-04-2024</t>
  </si>
  <si>
    <t>10-01-2024</t>
  </si>
  <si>
    <t>07-05-2023</t>
  </si>
  <si>
    <t>Priya Singh</t>
  </si>
  <si>
    <t>Suresh Reddy</t>
  </si>
  <si>
    <t>Amit Sharma</t>
  </si>
  <si>
    <t>Pooja Nair</t>
  </si>
  <si>
    <t>Kavita Rao</t>
  </si>
  <si>
    <t>Meena Joshi</t>
  </si>
  <si>
    <t>Aman Gupta</t>
  </si>
  <si>
    <t>Rajesh Khanna</t>
  </si>
  <si>
    <t>Deepak Yadav</t>
  </si>
  <si>
    <t>Simran Kaur</t>
  </si>
  <si>
    <t>Nisha Bhatia</t>
  </si>
  <si>
    <t>Sunil Kumar</t>
  </si>
  <si>
    <t>Ankit Patel</t>
  </si>
  <si>
    <t>Neha Verma</t>
  </si>
  <si>
    <t>Rohan Mehta</t>
  </si>
  <si>
    <t>North</t>
  </si>
  <si>
    <t>South</t>
  </si>
  <si>
    <t>East</t>
  </si>
  <si>
    <t>West</t>
  </si>
  <si>
    <t>Clothing</t>
  </si>
  <si>
    <t>Groceries</t>
  </si>
  <si>
    <t>Furniture</t>
  </si>
  <si>
    <t>Electronics</t>
  </si>
  <si>
    <t>Stationery</t>
  </si>
  <si>
    <t>#DIV/0!</t>
  </si>
  <si>
    <t>#N/A</t>
  </si>
  <si>
    <t>#REF!</t>
  </si>
  <si>
    <t>#NULL!</t>
  </si>
  <si>
    <t>NA</t>
  </si>
  <si>
    <t>First name</t>
  </si>
  <si>
    <t>Last name</t>
  </si>
  <si>
    <t>NULL</t>
  </si>
  <si>
    <t>replaced with NA</t>
  </si>
  <si>
    <t>Pooja ir</t>
  </si>
  <si>
    <t>Rajesh Khan</t>
  </si>
  <si>
    <t>Customer_me</t>
  </si>
  <si>
    <t>Mee Joshi</t>
  </si>
  <si>
    <t>Duplicate</t>
  </si>
  <si>
    <r>
      <t xml:space="preserve">Removed duplicate using </t>
    </r>
    <r>
      <rPr>
        <b/>
        <sz val="11"/>
        <color theme="1"/>
        <rFont val="Calibri"/>
        <family val="2"/>
        <scheme val="minor"/>
      </rPr>
      <t>Conditional formating</t>
    </r>
  </si>
  <si>
    <t>Name</t>
  </si>
  <si>
    <t>AVERAGE()</t>
  </si>
  <si>
    <t>MEDIAN()</t>
  </si>
  <si>
    <t>COUNT()</t>
  </si>
  <si>
    <t>COUNTA()</t>
  </si>
  <si>
    <t>MIN()</t>
  </si>
  <si>
    <t>MAX()</t>
  </si>
  <si>
    <t xml:space="preserve">LARGE() </t>
  </si>
  <si>
    <t>Avg Quantity</t>
  </si>
  <si>
    <t>middle value</t>
  </si>
  <si>
    <r>
      <t xml:space="preserve">Counts how many cells </t>
    </r>
    <r>
      <rPr>
        <b/>
        <sz val="11"/>
        <color theme="1"/>
        <rFont val="Calibri"/>
        <family val="2"/>
        <scheme val="minor"/>
      </rPr>
      <t>contain numbers</t>
    </r>
  </si>
  <si>
    <r>
      <t xml:space="preserve">ounts </t>
    </r>
    <r>
      <rPr>
        <b/>
        <sz val="11"/>
        <color theme="1"/>
        <rFont val="Calibri"/>
        <family val="2"/>
        <scheme val="minor"/>
      </rPr>
      <t>non-empty cells</t>
    </r>
    <r>
      <rPr>
        <sz val="11"/>
        <color theme="1"/>
        <rFont val="Calibri"/>
        <family val="2"/>
        <scheme val="minor"/>
      </rPr>
      <t xml:space="preserve"> (includes text &amp; numbers).</t>
    </r>
  </si>
  <si>
    <t>COUNTBLANK()</t>
  </si>
  <si>
    <t>COUNTIF()</t>
  </si>
  <si>
    <t>COUNTIFS()</t>
  </si>
  <si>
    <r>
      <t xml:space="preserve">ounts </t>
    </r>
    <r>
      <rPr>
        <b/>
        <sz val="11"/>
        <color theme="1"/>
        <rFont val="Calibri"/>
        <family val="2"/>
        <scheme val="minor"/>
      </rPr>
      <t>blank (empty)</t>
    </r>
    <r>
      <rPr>
        <sz val="11"/>
        <color theme="1"/>
        <rFont val="Calibri"/>
        <family val="2"/>
        <scheme val="minor"/>
      </rPr>
      <t xml:space="preserve"> cells.</t>
    </r>
  </si>
  <si>
    <t>Cell that meet condition</t>
  </si>
  <si>
    <t>Multiple conditions are met</t>
  </si>
  <si>
    <t>SMALL()</t>
  </si>
  <si>
    <t>Find Highest value</t>
  </si>
  <si>
    <t>Find lowest value</t>
  </si>
  <si>
    <r>
      <t xml:space="preserve">Find the </t>
    </r>
    <r>
      <rPr>
        <b/>
        <sz val="11"/>
        <color theme="1"/>
        <rFont val="Calibri"/>
        <family val="2"/>
        <scheme val="minor"/>
      </rPr>
      <t>k-th largest</t>
    </r>
    <r>
      <rPr>
        <sz val="11"/>
        <color theme="1"/>
        <rFont val="Calibri"/>
        <family val="2"/>
        <scheme val="minor"/>
      </rPr>
      <t xml:space="preserve"> number in a dataset.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</si>
  <si>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k-th smallest</t>
    </r>
    <r>
      <rPr>
        <sz val="11"/>
        <color theme="1"/>
        <rFont val="Calibri"/>
        <family val="2"/>
        <scheme val="minor"/>
      </rPr>
      <t xml:space="preserve"> number in a dataset.</t>
    </r>
  </si>
  <si>
    <t>A. Statistical Functions</t>
  </si>
  <si>
    <t>B. Logical Functions</t>
  </si>
  <si>
    <t>return one value if TRUE, another if FALSE.</t>
  </si>
  <si>
    <t>IF()</t>
  </si>
  <si>
    <t>AND()</t>
  </si>
  <si>
    <t>OR()</t>
  </si>
  <si>
    <t>NOT()</t>
  </si>
  <si>
    <t>IFERROR()</t>
  </si>
  <si>
    <r>
      <t>all conditions</t>
    </r>
    <r>
      <rPr>
        <sz val="11"/>
        <color theme="1"/>
        <rFont val="Calibri"/>
        <family val="2"/>
        <scheme val="minor"/>
      </rPr>
      <t xml:space="preserve"> are TRUE.</t>
    </r>
  </si>
  <si>
    <r>
      <t>any one condition</t>
    </r>
    <r>
      <rPr>
        <sz val="11"/>
        <color theme="1"/>
        <rFont val="Calibri"/>
        <family val="2"/>
        <scheme val="minor"/>
      </rPr>
      <t xml:space="preserve"> is TRUE.</t>
    </r>
  </si>
  <si>
    <t>Reverses a logical result.</t>
  </si>
  <si>
    <t>Handles errors (like #DIV/0! or #N/A).</t>
  </si>
  <si>
    <t>C. String/Text Functions</t>
  </si>
  <si>
    <t>SUBSTITUTE()</t>
  </si>
  <si>
    <t>LEFT()</t>
  </si>
  <si>
    <t>Right()</t>
  </si>
  <si>
    <t>Upper()</t>
  </si>
  <si>
    <t>Lower()</t>
  </si>
  <si>
    <t>Proper()</t>
  </si>
  <si>
    <t>Replace part of text with something else.</t>
  </si>
  <si>
    <t>D. Date &amp; Time Functions</t>
  </si>
  <si>
    <t>TODAY()</t>
  </si>
  <si>
    <t>NOW()</t>
  </si>
  <si>
    <t>DAY()</t>
  </si>
  <si>
    <t>MONTH()</t>
  </si>
  <si>
    <t>YEAR()</t>
  </si>
  <si>
    <t>DATE()</t>
  </si>
  <si>
    <t>DATEDIF()</t>
  </si>
  <si>
    <t>EDATE()</t>
  </si>
  <si>
    <r>
      <t xml:space="preserve">Finds how many </t>
    </r>
    <r>
      <rPr>
        <b/>
        <sz val="11"/>
        <color theme="1"/>
        <rFont val="Calibri"/>
        <family val="2"/>
        <scheme val="minor"/>
      </rPr>
      <t>days</t>
    </r>
    <r>
      <rPr>
        <sz val="11"/>
        <color theme="1"/>
        <rFont val="Calibri"/>
        <family val="2"/>
        <scheme val="minor"/>
      </rPr>
      <t xml:space="preserve"> have passed since the order date.</t>
    </r>
  </si>
  <si>
    <r>
      <t xml:space="preserve">Adds or subtracts </t>
    </r>
    <r>
      <rPr>
        <b/>
        <sz val="11"/>
        <color theme="1"/>
        <rFont val="Calibri"/>
        <family val="2"/>
        <scheme val="minor"/>
      </rPr>
      <t>months</t>
    </r>
    <r>
      <rPr>
        <sz val="11"/>
        <color theme="1"/>
        <rFont val="Calibri"/>
        <family val="2"/>
        <scheme val="minor"/>
      </rPr>
      <t xml:space="preserve"> to/from a date.</t>
    </r>
  </si>
  <si>
    <t>Row Labels</t>
  </si>
  <si>
    <t>Grand Total</t>
  </si>
  <si>
    <t>Count of Total_Sales</t>
  </si>
  <si>
    <t>Sum of Total_Sales</t>
  </si>
  <si>
    <t>Target</t>
  </si>
  <si>
    <t>Difference</t>
  </si>
  <si>
    <t>Achievement</t>
  </si>
  <si>
    <t>Uncategorized</t>
  </si>
  <si>
    <t>Added 3 columns</t>
  </si>
  <si>
    <t>(Targt, Diffrence, Achivement)</t>
  </si>
  <si>
    <t>Sum of Difference</t>
  </si>
  <si>
    <t>Average of 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</si>
</sst>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2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pivotButton="1" applyNumberFormat="1"/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0" applyNumberFormat="1"/>
    <xf numFmtId="0" fontId="0" fillId="2" borderId="0" xfId="0" applyFill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165" formatCode="&quot;₹&quot;\ 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Pivot!$A$3:$A$9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  <c:pt idx="5">
                  <c:v>Uncategorized</c:v>
                </c:pt>
              </c:strCache>
            </c:strRef>
          </c:cat>
          <c:val>
            <c:numRef>
              <c:f>Pivot!$B$3:$B$9</c:f>
              <c:numCache>
                <c:formatCode>General</c:formatCode>
                <c:ptCount val="6"/>
                <c:pt idx="0">
                  <c:v>552052</c:v>
                </c:pt>
                <c:pt idx="1">
                  <c:v>488030</c:v>
                </c:pt>
                <c:pt idx="2">
                  <c:v>628922</c:v>
                </c:pt>
                <c:pt idx="3">
                  <c:v>487998</c:v>
                </c:pt>
                <c:pt idx="4">
                  <c:v>648045</c:v>
                </c:pt>
                <c:pt idx="5">
                  <c:v>92290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C6-4422-BE11-6F1D65D2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22026480"/>
        <c:axId val="422025520"/>
        <c:axId val="0"/>
      </c:bar3DChart>
      <c:catAx>
        <c:axId val="42202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25520"/>
        <c:crosses val="autoZero"/>
        <c:auto val="1"/>
        <c:lblAlgn val="ctr"/>
        <c:lblOffset val="100"/>
        <c:noMultiLvlLbl val="0"/>
      </c:catAx>
      <c:valAx>
        <c:axId val="4220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2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7EB-4ED1-9719-F43F00258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7EB-4ED1-9719-F43F00258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7EB-4ED1-9719-F43F00258B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7EB-4ED1-9719-F43F00258B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7EB-4ED1-9719-F43F00258B5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Pivot!$E$3:$E$8</c:f>
              <c:strCache>
                <c:ptCount val="5"/>
                <c:pt idx="0">
                  <c:v>East</c:v>
                </c:pt>
                <c:pt idx="1">
                  <c:v>NA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Pivot!$F$3:$F$8</c:f>
              <c:numCache>
                <c:formatCode>"₹"\ #,##0.00</c:formatCode>
                <c:ptCount val="5"/>
                <c:pt idx="0">
                  <c:v>625156</c:v>
                </c:pt>
                <c:pt idx="1">
                  <c:v>127145</c:v>
                </c:pt>
                <c:pt idx="2">
                  <c:v>642306</c:v>
                </c:pt>
                <c:pt idx="3">
                  <c:v>743187</c:v>
                </c:pt>
                <c:pt idx="4">
                  <c:v>759543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B8-4A52-9DEB-5BEB677F2F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Sales Funnel Performance”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funnel" uniqueId="{A5F3FD88-5C7F-4741-8F50-3ADD2D04E6B5}">
          <cx:tx>
            <cx:txData>
              <cx:f>_xlchart.v2.1</cx:f>
              <cx:v>Total_Sales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0</xdr:row>
      <xdr:rowOff>87630</xdr:rowOff>
    </xdr:from>
    <xdr:to>
      <xdr:col>8</xdr:col>
      <xdr:colOff>601980</xdr:colOff>
      <xdr:row>15</xdr:row>
      <xdr:rowOff>137160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67EB867F-0DA4-93A8-6A17-9E9CEAAEA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15</xdr:row>
      <xdr:rowOff>152400</xdr:rowOff>
    </xdr:from>
    <xdr:to>
      <xdr:col>8</xdr:col>
      <xdr:colOff>586740</xdr:colOff>
      <xdr:row>30</xdr:row>
      <xdr:rowOff>160020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62D82E01-98BA-00EA-A841-7AD2DC738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114144</xdr:colOff>
      <xdr:row>0</xdr:row>
      <xdr:rowOff>108390</xdr:rowOff>
    </xdr:from>
    <xdr:to>
      <xdr:col>16</xdr:col>
      <xdr:colOff>418944</xdr:colOff>
      <xdr:row>30</xdr:row>
      <xdr:rowOff>144780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6">
              <a:extLst>
                <a:ext uri="{FF2B5EF4-FFF2-40B4-BE49-F238E27FC236}">
                  <a16:creationId xmlns:a16="http://schemas.microsoft.com/office/drawing/2014/main" id="{2E6BF813-60DF-16D1-2A30-289451C2F7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544" y="108390"/>
              <a:ext cx="4572000" cy="5522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i Hagaragi" refreshedDate="45970.644335532408" createdVersion="8" refreshedVersion="8" minRefreshableVersion="3" recordCount="200" xr:uid="{16B1E84D-9C03-4F21-93E2-BE7DF215F3FC}">
  <cacheSource type="worksheet">
    <worksheetSource ref="A1:K201" sheet="Formulas &amp; Functions"/>
  </cacheSource>
  <cacheFields count="11">
    <cacheField name="Order_ID" numFmtId="0">
      <sharedItems/>
    </cacheField>
    <cacheField name="Order_Date" numFmtId="2">
      <sharedItems/>
    </cacheField>
    <cacheField name="Customer_Name" numFmtId="0">
      <sharedItems containsBlank="1"/>
    </cacheField>
    <cacheField name="Region" numFmtId="0">
      <sharedItems/>
    </cacheField>
    <cacheField name="Product_Category" numFmtId="0">
      <sharedItems/>
    </cacheField>
    <cacheField name="Quantity" numFmtId="0">
      <sharedItems containsSemiMixedTypes="0" containsString="0" containsNumber="1" containsInteger="1" minValue="0" maxValue="10"/>
    </cacheField>
    <cacheField name="Unit_Price" numFmtId="0">
      <sharedItems containsSemiMixedTypes="0" containsString="0" containsNumber="1" containsInteger="1" minValue="0" maxValue="4995"/>
    </cacheField>
    <cacheField name="Total_Sales" numFmtId="0">
      <sharedItems containsSemiMixedTypes="0" containsString="0" containsNumber="1" containsInteger="1" minValue="0" maxValue="48620"/>
    </cacheField>
    <cacheField name="Target" numFmtId="0">
      <sharedItems containsSemiMixedTypes="0" containsString="0" containsNumber="1" containsInteger="1" minValue="20000" maxValue="150000" count="7">
        <n v="60000"/>
        <n v="75000"/>
        <n v="50000"/>
        <n v="20000"/>
        <n v="100000"/>
        <n v="70000"/>
        <n v="150000" u="1"/>
      </sharedItems>
    </cacheField>
    <cacheField name="Difference" numFmtId="0">
      <sharedItems containsSemiMixedTypes="0" containsString="0" containsNumber="1" containsInteger="1" minValue="-100000" maxValue="23630"/>
    </cacheField>
    <cacheField name="Achievement" numFmtId="9">
      <sharedItems containsSemiMixedTypes="0" containsString="0" containsNumber="1" minValue="0" maxValue="2.1815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i Hagaragi" refreshedDate="45970.644372685187" createdVersion="8" refreshedVersion="8" minRefreshableVersion="3" recordCount="200" xr:uid="{28DCAE9A-F157-484D-ADC3-22B33D7BC67E}">
  <cacheSource type="worksheet">
    <worksheetSource ref="A1:H201" sheet="Formulas &amp; Functions"/>
  </cacheSource>
  <cacheFields count="8">
    <cacheField name="Order_ID" numFmtId="0">
      <sharedItems/>
    </cacheField>
    <cacheField name="Order_Date" numFmtId="2">
      <sharedItems/>
    </cacheField>
    <cacheField name="Customer_Name" numFmtId="0">
      <sharedItems containsBlank="1"/>
    </cacheField>
    <cacheField name="Region" numFmtId="0">
      <sharedItems count="5">
        <s v="South"/>
        <s v="North"/>
        <s v="West"/>
        <s v="NA"/>
        <s v="East"/>
      </sharedItems>
    </cacheField>
    <cacheField name="Product_Category" numFmtId="0">
      <sharedItems count="7">
        <s v="Stationery"/>
        <s v="Furniture"/>
        <s v="Clothing"/>
        <s v="Uncategorized"/>
        <s v="Electronics"/>
        <s v="Groceries"/>
        <s v="NA" u="1"/>
      </sharedItems>
    </cacheField>
    <cacheField name="Quantity" numFmtId="0">
      <sharedItems containsSemiMixedTypes="0" containsString="0" containsNumber="1" containsInteger="1" minValue="0" maxValue="10"/>
    </cacheField>
    <cacheField name="Unit_Price" numFmtId="0">
      <sharedItems containsSemiMixedTypes="0" containsString="0" containsNumber="1" containsInteger="1" minValue="0" maxValue="4995"/>
    </cacheField>
    <cacheField name="Total_Sales" numFmtId="0">
      <sharedItems containsSemiMixedTypes="0" containsString="0" containsNumber="1" containsInteger="1" minValue="0" maxValue="486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127"/>
    <s v="06-04-2023"/>
    <s v="Kavita Rao"/>
    <s v="South"/>
    <s v="Stationery"/>
    <n v="4"/>
    <n v="2708"/>
    <n v="10832"/>
    <x v="0"/>
    <n v="-49168"/>
    <n v="0.18053333333333332"/>
  </r>
  <r>
    <s v="ORD0138"/>
    <s v="18-05-2024"/>
    <s v="Priya Singh"/>
    <s v="North"/>
    <s v="Furniture"/>
    <n v="3"/>
    <n v="4810"/>
    <n v="14430"/>
    <x v="1"/>
    <n v="-60570"/>
    <n v="0.19239999999999999"/>
  </r>
  <r>
    <s v="ORD0061"/>
    <s v="22-02-2023"/>
    <s v="Priya Singh"/>
    <s v="West"/>
    <s v="Clothing"/>
    <n v="1"/>
    <n v="229"/>
    <n v="229"/>
    <x v="2"/>
    <n v="-49771"/>
    <n v="4.5799999999999999E-3"/>
  </r>
  <r>
    <s v="ORD0081"/>
    <s v="06-03-2024"/>
    <s v="Deepak Yadav"/>
    <s v="West"/>
    <s v="Furniture"/>
    <n v="10"/>
    <n v="4862"/>
    <n v="48620"/>
    <x v="1"/>
    <n v="-26380"/>
    <n v="0.64826666666666666"/>
  </r>
  <r>
    <s v="ORD0148"/>
    <s v="15-03-2023"/>
    <s v="Amit Sharma"/>
    <s v="South"/>
    <s v="Clothing"/>
    <n v="10"/>
    <n v="4862"/>
    <n v="48620"/>
    <x v="2"/>
    <n v="-1380"/>
    <n v="0.97240000000000004"/>
  </r>
  <r>
    <s v="ORD0103"/>
    <s v="19-06-2023"/>
    <s v="Rajesh Khanna"/>
    <s v="West"/>
    <s v="Furniture"/>
    <n v="10"/>
    <n v="4575"/>
    <n v="45750"/>
    <x v="1"/>
    <n v="-29250"/>
    <n v="0.61"/>
  </r>
  <r>
    <s v="ORD0166"/>
    <s v="18-07-2024"/>
    <s v="Rohan Mehta"/>
    <s v="West"/>
    <s v="Uncategorized"/>
    <n v="10"/>
    <n v="4363"/>
    <n v="43630"/>
    <x v="3"/>
    <n v="23630"/>
    <n v="2.1815000000000002"/>
  </r>
  <r>
    <s v="ORD0091"/>
    <s v="05-05-2023"/>
    <s v="Sunil Kumar"/>
    <s v="South"/>
    <s v="Stationery"/>
    <n v="9"/>
    <n v="4778"/>
    <n v="43002"/>
    <x v="0"/>
    <n v="-16998"/>
    <n v="0.7167"/>
  </r>
  <r>
    <s v="ORD0077"/>
    <s v="18-09-2023"/>
    <s v="Amit Sharma"/>
    <s v="West"/>
    <s v="Electronics"/>
    <n v="9"/>
    <n v="4610"/>
    <n v="41490"/>
    <x v="4"/>
    <n v="-58510"/>
    <n v="0.41489999999999999"/>
  </r>
  <r>
    <s v="ORD0144"/>
    <s v="10-06-2023"/>
    <s v="Amit Sharma"/>
    <s v="NA"/>
    <s v="Stationery"/>
    <n v="10"/>
    <n v="4049"/>
    <n v="40490"/>
    <x v="0"/>
    <n v="-19510"/>
    <n v="0.67483333333333329"/>
  </r>
  <r>
    <s v="ORD0121"/>
    <s v="13-10-2023"/>
    <s v="Simran Kaur"/>
    <s v="NA"/>
    <s v="Furniture"/>
    <n v="8"/>
    <n v="4868"/>
    <n v="38944"/>
    <x v="1"/>
    <n v="-36056"/>
    <n v="0.51925333333333334"/>
  </r>
  <r>
    <s v="ORD0054"/>
    <s v="20-11-2023"/>
    <s v="Simran Kaur"/>
    <s v="North"/>
    <s v="Electronics"/>
    <n v="8"/>
    <n v="4812"/>
    <n v="38496"/>
    <x v="4"/>
    <n v="-61504"/>
    <n v="0.38496000000000002"/>
  </r>
  <r>
    <s v="ORD0020"/>
    <s v="13-02-2024"/>
    <s v="Ankit Patel"/>
    <s v="South"/>
    <s v="Furniture"/>
    <n v="9"/>
    <n v="4242"/>
    <n v="38178"/>
    <x v="1"/>
    <n v="-36822"/>
    <n v="0.50904000000000005"/>
  </r>
  <r>
    <s v="ORD0125"/>
    <s v="15-07-2023"/>
    <s v="Priya Singh"/>
    <s v="South"/>
    <s v="Stationery"/>
    <n v="8"/>
    <n v="4748"/>
    <n v="37984"/>
    <x v="0"/>
    <n v="-22016"/>
    <n v="0.63306666666666667"/>
  </r>
  <r>
    <s v="ORD0169"/>
    <s v="16-05-2024"/>
    <s v="Rajesh Khanna"/>
    <s v="South"/>
    <s v="Stationery"/>
    <n v="9"/>
    <n v="4167"/>
    <n v="37503"/>
    <x v="0"/>
    <n v="-22497"/>
    <n v="0.62504999999999999"/>
  </r>
  <r>
    <s v="ORD0119"/>
    <s v="30-06-2023"/>
    <s v="Suresh Reddy"/>
    <s v="East"/>
    <s v="Groceries"/>
    <n v="0"/>
    <n v="4160"/>
    <n v="0"/>
    <x v="5"/>
    <n v="-70000"/>
    <n v="0"/>
  </r>
  <r>
    <s v="ORD0174"/>
    <s v="13-04-2023"/>
    <s v="Rajesh Khanna"/>
    <s v="West"/>
    <s v="Electronics"/>
    <n v="9"/>
    <n v="3943"/>
    <n v="35487"/>
    <x v="4"/>
    <n v="-64513"/>
    <n v="0.35487000000000002"/>
  </r>
  <r>
    <s v="ORD0033"/>
    <s v="16-11-2023"/>
    <s v="Meena Joshi"/>
    <s v="East"/>
    <s v="Stationery"/>
    <n v="9"/>
    <n v="3898"/>
    <n v="35082"/>
    <x v="0"/>
    <n v="-24918"/>
    <n v="0.5847"/>
  </r>
  <r>
    <s v="ORD0019"/>
    <s v="28-07-2024"/>
    <s v="Aman Gupta"/>
    <s v="East"/>
    <s v="Groceries"/>
    <n v="7"/>
    <n v="4980"/>
    <n v="34860"/>
    <x v="5"/>
    <n v="-35140"/>
    <n v="0.498"/>
  </r>
  <r>
    <s v="ORD0176"/>
    <s v="25-04-2024"/>
    <s v="Nisha Bhatia"/>
    <s v="East"/>
    <s v="Clothing"/>
    <n v="10"/>
    <n v="3456"/>
    <n v="34560"/>
    <x v="2"/>
    <n v="-15440"/>
    <n v="0.69120000000000004"/>
  </r>
  <r>
    <s v="ORD0087"/>
    <s v="08-09-2023"/>
    <s v="Sunil Kumar"/>
    <s v="North"/>
    <s v="Stationery"/>
    <n v="7"/>
    <n v="4915"/>
    <n v="34405"/>
    <x v="0"/>
    <n v="-25595"/>
    <n v="0.57341666666666669"/>
  </r>
  <r>
    <s v="ORD0116"/>
    <s v="02-08-2024"/>
    <s v="Nisha Bhatia"/>
    <s v="North"/>
    <s v="Clothing"/>
    <n v="9"/>
    <n v="3709"/>
    <n v="33381"/>
    <x v="2"/>
    <n v="-16619"/>
    <n v="0.66761999999999999"/>
  </r>
  <r>
    <s v="ORD0161"/>
    <s v="01-10-2023"/>
    <s v="Aman Gupta"/>
    <s v="South"/>
    <s v="Clothing"/>
    <n v="8"/>
    <n v="4170"/>
    <n v="33360"/>
    <x v="2"/>
    <n v="-16640"/>
    <n v="0.66720000000000002"/>
  </r>
  <r>
    <s v="ORD0198"/>
    <s v="24-04-2024"/>
    <s v="Priya Singh"/>
    <s v="South"/>
    <s v="Furniture"/>
    <n v="7"/>
    <n v="4765"/>
    <n v="33355"/>
    <x v="1"/>
    <n v="-41645"/>
    <n v="0.44473333333333331"/>
  </r>
  <r>
    <s v="ORD0092"/>
    <s v="01-09-2024"/>
    <s v="Ankit Patel"/>
    <s v="West"/>
    <s v="Groceries"/>
    <n v="9"/>
    <n v="3695"/>
    <n v="33255"/>
    <x v="5"/>
    <n v="-36745"/>
    <n v="0.47507142857142859"/>
  </r>
  <r>
    <s v="ORD0200"/>
    <s v="07-05-2023"/>
    <s v="Sunil Kumar"/>
    <s v="East"/>
    <s v="Clothing"/>
    <n v="10"/>
    <n v="3321"/>
    <n v="33210"/>
    <x v="2"/>
    <n v="-16790"/>
    <n v="0.66420000000000001"/>
  </r>
  <r>
    <s v="ORD0156"/>
    <s v="26-02-2024"/>
    <s v="Suresh Reddy"/>
    <s v="West"/>
    <s v="Clothing"/>
    <n v="7"/>
    <n v="4706"/>
    <n v="32942"/>
    <x v="2"/>
    <n v="-17058"/>
    <n v="0.65883999999999998"/>
  </r>
  <r>
    <s v="ORD0139"/>
    <s v="08-11-2023"/>
    <s v="Priya Singh"/>
    <s v="South"/>
    <s v="Electronics"/>
    <n v="9"/>
    <n v="3609"/>
    <n v="32481"/>
    <x v="4"/>
    <n v="-67519"/>
    <n v="0.32480999999999999"/>
  </r>
  <r>
    <s v="ORD0100"/>
    <s v="07-01-2023"/>
    <s v="Ankit Patel"/>
    <s v="East"/>
    <s v="Stationery"/>
    <n v="7"/>
    <n v="4609"/>
    <n v="32263"/>
    <x v="0"/>
    <n v="-27737"/>
    <n v="0.53771666666666662"/>
  </r>
  <r>
    <s v="ORD0182"/>
    <s v="19-01-2024"/>
    <s v="Meena Joshi"/>
    <s v="South"/>
    <s v="Furniture"/>
    <n v="9"/>
    <n v="3575"/>
    <n v="32175"/>
    <x v="1"/>
    <n v="-42825"/>
    <n v="0.42899999999999999"/>
  </r>
  <r>
    <s v="ORD0083"/>
    <s v="16-03-2024"/>
    <s v="Nisha Bhatia"/>
    <s v="East"/>
    <s v="Stationery"/>
    <n v="8"/>
    <n v="3822"/>
    <n v="30576"/>
    <x v="0"/>
    <n v="-29424"/>
    <n v="0.50960000000000005"/>
  </r>
  <r>
    <s v="ORD0009"/>
    <s v="22-03-2023"/>
    <s v="Aman Gupta"/>
    <s v="East"/>
    <s v="Groceries"/>
    <n v="6"/>
    <n v="4929"/>
    <n v="29574"/>
    <x v="5"/>
    <n v="-40426"/>
    <n v="0.4224857142857143"/>
  </r>
  <r>
    <s v="ORD0117"/>
    <s v="15-01-2024"/>
    <s v="Priya Singh"/>
    <s v="East"/>
    <s v="Electronics"/>
    <n v="7"/>
    <n v="4215"/>
    <n v="29505"/>
    <x v="4"/>
    <n v="-70495"/>
    <n v="0.29504999999999998"/>
  </r>
  <r>
    <s v="ORD0173"/>
    <s v="22-05-2024"/>
    <s v="NA"/>
    <s v="South"/>
    <s v="Groceries"/>
    <n v="10"/>
    <n v="2919"/>
    <n v="29190"/>
    <x v="5"/>
    <n v="-40810"/>
    <n v="0.41699999999999998"/>
  </r>
  <r>
    <s v="ORD0099"/>
    <s v="06-03-2024"/>
    <s v="Meena Joshi"/>
    <s v="North"/>
    <s v="Groceries"/>
    <n v="7"/>
    <n v="4107"/>
    <n v="28749"/>
    <x v="5"/>
    <n v="-41251"/>
    <n v="0.41070000000000001"/>
  </r>
  <r>
    <s v="ORD0159"/>
    <s v="18-04-2024"/>
    <s v="Meena Joshi"/>
    <s v="NA"/>
    <s v="Furniture"/>
    <n v="9"/>
    <n v="3163"/>
    <n v="28467"/>
    <x v="1"/>
    <n v="-46533"/>
    <n v="0.37956000000000001"/>
  </r>
  <r>
    <s v="ORD0038"/>
    <s v="06-07-2024"/>
    <s v="Rohan Mehta"/>
    <s v="West"/>
    <s v="Furniture"/>
    <n v="8"/>
    <n v="3534"/>
    <n v="28272"/>
    <x v="1"/>
    <n v="-46728"/>
    <n v="0.37696000000000002"/>
  </r>
  <r>
    <s v="ORD0022"/>
    <s v="08-03-2024"/>
    <s v="Pooja Nair"/>
    <s v="North"/>
    <s v="Stationery"/>
    <n v="7"/>
    <n v="4034"/>
    <n v="28238"/>
    <x v="0"/>
    <n v="-31762"/>
    <n v="0.47063333333333335"/>
  </r>
  <r>
    <s v="ORD0017"/>
    <s v="05-08-2023"/>
    <s v="Simran Kaur"/>
    <s v="East"/>
    <s v="Uncategorized"/>
    <n v="8"/>
    <n v="3441"/>
    <n v="27528"/>
    <x v="3"/>
    <n v="7528"/>
    <n v="1.3764000000000001"/>
  </r>
  <r>
    <s v="ORD0140"/>
    <s v="12-09-2024"/>
    <s v="Pooja Nair"/>
    <s v="South"/>
    <s v="Groceries"/>
    <n v="7"/>
    <n v="3890"/>
    <n v="27230"/>
    <x v="5"/>
    <n v="-42770"/>
    <n v="0.38900000000000001"/>
  </r>
  <r>
    <s v="ORD0128"/>
    <s v="18-08-2024"/>
    <s v="Ankit Patel"/>
    <s v="West"/>
    <s v="Groceries"/>
    <n v="9"/>
    <n v="3016"/>
    <n v="27144"/>
    <x v="5"/>
    <n v="-42856"/>
    <n v="0.38777142857142854"/>
  </r>
  <r>
    <s v="ORD0187"/>
    <s v="11-06-2023"/>
    <s v="Priya Singh"/>
    <s v="West"/>
    <s v="Clothing"/>
    <n v="10"/>
    <n v="2650"/>
    <n v="26500"/>
    <x v="2"/>
    <n v="-23500"/>
    <n v="0.53"/>
  </r>
  <r>
    <s v="ORD0014"/>
    <s v="30-06-2024"/>
    <s v="Suresh Reddy"/>
    <s v="South"/>
    <s v="Furniture"/>
    <n v="8"/>
    <n v="3308"/>
    <n v="26464"/>
    <x v="1"/>
    <n v="-48536"/>
    <n v="0.35285333333333335"/>
  </r>
  <r>
    <s v="ORD0168"/>
    <s v="03-06-2024"/>
    <s v="Kavita Rao"/>
    <s v="North"/>
    <s v="Clothing"/>
    <n v="5"/>
    <n v="4950"/>
    <n v="24750"/>
    <x v="2"/>
    <n v="-25250"/>
    <n v="0.495"/>
  </r>
  <r>
    <s v="ORD0154"/>
    <s v="22-03-2024"/>
    <s v="Deepak Yadav"/>
    <s v="West"/>
    <s v="Electronics"/>
    <n v="8"/>
    <n v="3050"/>
    <n v="24400"/>
    <x v="4"/>
    <n v="-75600"/>
    <n v="0.24399999999999999"/>
  </r>
  <r>
    <s v="ORD0074"/>
    <s v="29-04-2023"/>
    <s v="Simran Kaur"/>
    <s v="East"/>
    <s v="Furniture"/>
    <n v="10"/>
    <n v="2374"/>
    <n v="23740"/>
    <x v="1"/>
    <n v="-51260"/>
    <n v="0.31653333333333333"/>
  </r>
  <r>
    <s v="ORD0162"/>
    <s v="05-05-2023"/>
    <s v="Amit Sharma"/>
    <s v="South"/>
    <s v="Furniture"/>
    <n v="5"/>
    <n v="4712"/>
    <n v="23560"/>
    <x v="1"/>
    <n v="-51440"/>
    <n v="0.31413333333333332"/>
  </r>
  <r>
    <s v="ORD0186"/>
    <s v="19-09-2023"/>
    <s v="Deepak Yadav"/>
    <s v="North"/>
    <s v="Stationery"/>
    <n v="5"/>
    <n v="4677"/>
    <n v="23385"/>
    <x v="0"/>
    <n v="-36615"/>
    <n v="0.38974999999999999"/>
  </r>
  <r>
    <s v="ORD0134"/>
    <s v="10-05-2023"/>
    <s v="Kavita Rao"/>
    <s v="North"/>
    <s v="Electronics"/>
    <n v="9"/>
    <n v="2593"/>
    <n v="23337"/>
    <x v="4"/>
    <n v="-76663"/>
    <n v="0.23336999999999999"/>
  </r>
  <r>
    <s v="ORD0199"/>
    <s v="10-01-2024"/>
    <s v="Priya Singh"/>
    <s v="West"/>
    <s v="Electronics"/>
    <n v="5"/>
    <n v="4595"/>
    <n v="22975"/>
    <x v="4"/>
    <n v="-77025"/>
    <n v="0.22975000000000001"/>
  </r>
  <r>
    <s v="ORD0075"/>
    <s v="09-02-2023"/>
    <s v="Priya Singh"/>
    <s v="West"/>
    <s v="Clothing"/>
    <n v="6"/>
    <n v="3774"/>
    <n v="22644"/>
    <x v="2"/>
    <n v="-27356"/>
    <n v="0.45288"/>
  </r>
  <r>
    <s v="ORD0039"/>
    <s v="14-07-2023"/>
    <s v="Priya Singh"/>
    <s v="North"/>
    <s v="Stationery"/>
    <n v="6"/>
    <n v="3669"/>
    <n v="22014"/>
    <x v="0"/>
    <n v="-37986"/>
    <n v="0.3669"/>
  </r>
  <r>
    <s v="ORD0196"/>
    <s v="06-07-2024"/>
    <s v="Simran Kaur"/>
    <s v="East"/>
    <s v="Groceries"/>
    <n v="9"/>
    <n v="2432"/>
    <n v="21888"/>
    <x v="5"/>
    <n v="-48112"/>
    <n v="0.31268571428571429"/>
  </r>
  <r>
    <s v="ORD0164"/>
    <s v="17-04-2024"/>
    <s v="NA"/>
    <s v="South"/>
    <s v="Stationery"/>
    <n v="5"/>
    <n v="4368"/>
    <n v="21840"/>
    <x v="0"/>
    <n v="-38160"/>
    <n v="0.36399999999999999"/>
  </r>
  <r>
    <s v="ORD0023"/>
    <s v="25-06-2024"/>
    <s v="Kavita Rao"/>
    <s v="North"/>
    <s v="Electronics"/>
    <n v="9"/>
    <n v="2385"/>
    <n v="21465"/>
    <x v="4"/>
    <n v="-78535"/>
    <n v="0.21465000000000001"/>
  </r>
  <r>
    <s v="ORD0102"/>
    <s v="22-03-2024"/>
    <s v="Sunil Kumar"/>
    <s v="North"/>
    <s v="Stationery"/>
    <n v="6"/>
    <n v="3512"/>
    <n v="21072"/>
    <x v="0"/>
    <n v="-38928"/>
    <n v="0.35120000000000001"/>
  </r>
  <r>
    <s v="ORD0167"/>
    <s v="20-05-2023"/>
    <s v="Rajesh Khanna"/>
    <s v="North"/>
    <s v="Clothing"/>
    <n v="0"/>
    <n v="2984"/>
    <n v="0"/>
    <x v="2"/>
    <n v="-50000"/>
    <n v="0"/>
  </r>
  <r>
    <s v="ORD0191"/>
    <s v="09-10-2023"/>
    <s v="Amit Sharma"/>
    <s v="North"/>
    <s v="Groceries"/>
    <n v="8"/>
    <n v="2544"/>
    <n v="20352"/>
    <x v="5"/>
    <n v="-49648"/>
    <n v="0.29074285714285714"/>
  </r>
  <r>
    <s v="ORD0090"/>
    <s v="30-06-2023"/>
    <s v="Nisha Bhatia"/>
    <s v="West"/>
    <s v="Electronics"/>
    <n v="9"/>
    <n v="2241"/>
    <n v="20169"/>
    <x v="4"/>
    <n v="-79831"/>
    <n v="0.20169000000000001"/>
  </r>
  <r>
    <s v="ORD0185"/>
    <s v="20-08-2024"/>
    <s v="Rohan Mehta"/>
    <s v="South"/>
    <s v="Stationery"/>
    <n v="5"/>
    <n v="3964"/>
    <n v="19820"/>
    <x v="0"/>
    <n v="-40180"/>
    <n v="0.33033333333333331"/>
  </r>
  <r>
    <s v="ORD0053"/>
    <s v="02-09-2023"/>
    <s v="Kavita Rao"/>
    <s v="West"/>
    <s v="Furniture"/>
    <n v="5"/>
    <n v="3945"/>
    <n v="19725"/>
    <x v="1"/>
    <n v="-55275"/>
    <n v="0.26300000000000001"/>
  </r>
  <r>
    <s v="ORD0046"/>
    <s v="18-06-2023"/>
    <s v="Meena Joshi"/>
    <s v="North"/>
    <s v="Stationery"/>
    <n v="5"/>
    <n v="3927"/>
    <n v="19635"/>
    <x v="0"/>
    <n v="-40365"/>
    <n v="0.32724999999999999"/>
  </r>
  <r>
    <s v="ORD0145"/>
    <s v="26-10-2023"/>
    <s v="Amit Sharma"/>
    <s v="South"/>
    <s v="Clothing"/>
    <n v="5"/>
    <n v="3919"/>
    <n v="19595"/>
    <x v="2"/>
    <n v="-30405"/>
    <n v="0.39190000000000003"/>
  </r>
  <r>
    <s v="ORD0177"/>
    <s v="27-10-2024"/>
    <s v="Priya Singh"/>
    <s v="East"/>
    <s v="Groceries"/>
    <n v="7"/>
    <n v="2794"/>
    <n v="19558"/>
    <x v="5"/>
    <n v="-50442"/>
    <n v="0.27939999999999998"/>
  </r>
  <r>
    <s v="ORD0129"/>
    <s v="11-03-2024"/>
    <s v="Suresh Reddy"/>
    <s v="East"/>
    <s v="Clothing"/>
    <n v="8"/>
    <n v="2419"/>
    <n v="19352"/>
    <x v="2"/>
    <n v="-30648"/>
    <n v="0.38704"/>
  </r>
  <r>
    <s v="ORD0193"/>
    <s v="21-05-2023"/>
    <s v="Deepak Yadav"/>
    <s v="North"/>
    <s v="Electronics"/>
    <n v="5"/>
    <n v="3811"/>
    <n v="19055"/>
    <x v="4"/>
    <n v="-80945"/>
    <n v="0.19055"/>
  </r>
  <r>
    <s v="ORD0093"/>
    <s v="15-07-2024"/>
    <s v="Sunil Kumar"/>
    <s v="South"/>
    <s v="Stationery"/>
    <n v="8"/>
    <n v="2323"/>
    <n v="18584"/>
    <x v="0"/>
    <n v="-41416"/>
    <n v="0.30973333333333336"/>
  </r>
  <r>
    <s v="ORD0026"/>
    <s v="19-04-2023"/>
    <s v="Rajesh Khanna"/>
    <s v="East"/>
    <s v="Groceries"/>
    <n v="10"/>
    <n v="1829"/>
    <n v="18290"/>
    <x v="5"/>
    <n v="-51710"/>
    <n v="0.26128571428571429"/>
  </r>
  <r>
    <s v="ORD0146"/>
    <s v="14-03-2023"/>
    <s v="Deepak Yadav"/>
    <s v="South"/>
    <s v="Clothing"/>
    <n v="10"/>
    <n v="1820"/>
    <n v="18200"/>
    <x v="2"/>
    <n v="-31800"/>
    <n v="0.36399999999999999"/>
  </r>
  <r>
    <s v="ORD0060"/>
    <s v="18-12-2023"/>
    <s v="NA"/>
    <s v="East"/>
    <s v="Groceries"/>
    <n v="8"/>
    <n v="2257"/>
    <n v="18056"/>
    <x v="5"/>
    <n v="-51944"/>
    <n v="0.25794285714285714"/>
  </r>
  <r>
    <s v="ORD0079"/>
    <s v="08-05-2023"/>
    <s v="Suresh Reddy"/>
    <s v="East"/>
    <s v="Groceries"/>
    <n v="5"/>
    <n v="3545"/>
    <n v="17725"/>
    <x v="5"/>
    <n v="-52275"/>
    <n v="0.25321428571428573"/>
  </r>
  <r>
    <s v="ORD0076"/>
    <s v="12-09-2024"/>
    <s v="Aman Gupta"/>
    <s v="North"/>
    <s v="Stationery"/>
    <n v="10"/>
    <n v="1757"/>
    <n v="17570"/>
    <x v="0"/>
    <n v="-42430"/>
    <n v="0.29283333333333333"/>
  </r>
  <r>
    <s v="ORD0149"/>
    <s v="23-10-2023"/>
    <s v="Sunil Kumar"/>
    <s v="North"/>
    <s v="Stationery"/>
    <n v="5"/>
    <n v="3497"/>
    <n v="17485"/>
    <x v="0"/>
    <n v="-42515"/>
    <n v="0.29141666666666666"/>
  </r>
  <r>
    <s v="ORD0003"/>
    <s v="02-02-2023"/>
    <s v="Amit Sharma"/>
    <s v="North"/>
    <s v="Furniture"/>
    <n v="4"/>
    <n v="4339"/>
    <n v="17356"/>
    <x v="1"/>
    <n v="-57644"/>
    <n v="0.23141333333333333"/>
  </r>
  <r>
    <s v="ORD0011"/>
    <s v="23-03-2023"/>
    <s v="Rajesh Khanna"/>
    <s v="South"/>
    <s v="Electronics"/>
    <n v="7"/>
    <n v="2477"/>
    <n v="17339"/>
    <x v="4"/>
    <n v="-82661"/>
    <n v="0.17338999999999999"/>
  </r>
  <r>
    <s v="ORD0094"/>
    <s v="11-09-2023"/>
    <s v="Rajesh Khanna"/>
    <s v="East"/>
    <s v="Groceries"/>
    <n v="8"/>
    <n v="2159"/>
    <n v="17272"/>
    <x v="5"/>
    <n v="-52728"/>
    <n v="0.24674285714285715"/>
  </r>
  <r>
    <s v="ORD0184"/>
    <s v="16-09-2024"/>
    <s v="Rajesh Khanna"/>
    <s v="West"/>
    <s v="Groceries"/>
    <n v="4"/>
    <n v="4276"/>
    <n v="17104"/>
    <x v="5"/>
    <n v="-52896"/>
    <n v="0.24434285714285714"/>
  </r>
  <r>
    <s v="ORD0131"/>
    <s v="03-05-2023"/>
    <s v="Suresh Reddy"/>
    <s v="South"/>
    <s v="Furniture"/>
    <n v="4"/>
    <n v="4166"/>
    <n v="16664"/>
    <x v="1"/>
    <n v="-58336"/>
    <n v="0.22218666666666667"/>
  </r>
  <r>
    <s v="ORD0032"/>
    <s v="24-06-2024"/>
    <s v="Rajesh Khanna"/>
    <s v="West"/>
    <s v="Furniture"/>
    <n v="9"/>
    <n v="1847"/>
    <n v="16623"/>
    <x v="1"/>
    <n v="-58377"/>
    <n v="0.22164"/>
  </r>
  <r>
    <s v="ORD0111"/>
    <s v="10-05-2023"/>
    <s v="Sunil Kumar"/>
    <s v="North"/>
    <s v="Groceries"/>
    <n v="4"/>
    <n v="4009"/>
    <n v="16036"/>
    <x v="5"/>
    <n v="-53964"/>
    <n v="0.22908571428571428"/>
  </r>
  <r>
    <s v="ORD0013"/>
    <s v="03-08-2023"/>
    <s v="Deepak Yadav"/>
    <s v="East"/>
    <s v="Electronics"/>
    <n v="10"/>
    <n v="1601"/>
    <n v="16010"/>
    <x v="4"/>
    <n v="-83990"/>
    <n v="0.16009999999999999"/>
  </r>
  <r>
    <s v="ORD0107"/>
    <s v="01-12-2023"/>
    <s v="Ankit Patel"/>
    <s v="West"/>
    <s v="Clothing"/>
    <n v="7"/>
    <n v="2266"/>
    <n v="15862"/>
    <x v="2"/>
    <n v="-34138"/>
    <n v="0.31724000000000002"/>
  </r>
  <r>
    <s v="ORD0165"/>
    <s v="07-10-2023"/>
    <s v="Meena Joshi"/>
    <s v="West"/>
    <s v="Stationery"/>
    <n v="4"/>
    <n v="3941"/>
    <n v="15764"/>
    <x v="0"/>
    <n v="-44236"/>
    <n v="0.26273333333333332"/>
  </r>
  <r>
    <s v="ORD0106"/>
    <s v="21-02-2023"/>
    <s v="Kavita Rao"/>
    <s v="West"/>
    <s v="Clothing"/>
    <n v="4"/>
    <n v="3924"/>
    <n v="15696"/>
    <x v="2"/>
    <n v="-34304"/>
    <n v="0.31391999999999998"/>
  </r>
  <r>
    <s v="ORD0181"/>
    <s v="30-01-2023"/>
    <s v="Amit Sharma"/>
    <s v="East"/>
    <s v="Electronics"/>
    <n v="5"/>
    <n v="3136"/>
    <n v="15680"/>
    <x v="4"/>
    <n v="-84320"/>
    <n v="0.15679999999999999"/>
  </r>
  <r>
    <s v="ORD0037"/>
    <s v="05-12-2023"/>
    <s v="Priya Singh"/>
    <s v="South"/>
    <s v="Clothing"/>
    <n v="8"/>
    <n v="1955"/>
    <n v="15640"/>
    <x v="2"/>
    <n v="-34360"/>
    <n v="0.31280000000000002"/>
  </r>
  <r>
    <s v="ORD0088"/>
    <s v="19-07-2023"/>
    <s v="Suresh Reddy"/>
    <s v="West"/>
    <s v="Stationery"/>
    <n v="7"/>
    <n v="2198"/>
    <n v="15386"/>
    <x v="0"/>
    <n v="-44614"/>
    <n v="0.25643333333333335"/>
  </r>
  <r>
    <s v="ORD0056"/>
    <s v="24-12-2023"/>
    <s v="Simran Kaur"/>
    <s v="North"/>
    <s v="Furniture"/>
    <n v="6"/>
    <n v="2534"/>
    <n v="15204"/>
    <x v="1"/>
    <n v="-59796"/>
    <n v="0.20272000000000001"/>
  </r>
  <r>
    <s v="ORD0153"/>
    <s v="29-06-2023"/>
    <s v="Sunil Kumar"/>
    <s v="West"/>
    <s v="Clothing"/>
    <n v="3"/>
    <n v="4995"/>
    <n v="14985"/>
    <x v="2"/>
    <n v="-35015"/>
    <n v="0.29970000000000002"/>
  </r>
  <r>
    <s v="ORD0157"/>
    <s v="07-02-2023"/>
    <s v="Sunil Kumar"/>
    <s v="North"/>
    <s v="Uncategorized"/>
    <n v="5"/>
    <n v="2848"/>
    <n v="14240"/>
    <x v="3"/>
    <n v="-5760"/>
    <n v="0.71199999999999997"/>
  </r>
  <r>
    <s v="ORD0007"/>
    <s v="05-04-2023"/>
    <s v="Meena Joshi"/>
    <s v="NA"/>
    <s v="Clothing"/>
    <n v="6"/>
    <n v="2366"/>
    <n v="14196"/>
    <x v="2"/>
    <n v="-35804"/>
    <n v="0.28392000000000001"/>
  </r>
  <r>
    <s v="ORD0004"/>
    <s v="08-09-2024"/>
    <s v="Amit Sharma"/>
    <s v="South"/>
    <s v="Groceries"/>
    <n v="7"/>
    <n v="2005"/>
    <n v="14035"/>
    <x v="5"/>
    <n v="-55965"/>
    <n v="0.20050000000000001"/>
  </r>
  <r>
    <s v="ORD0089"/>
    <s v="01-06-2023"/>
    <s v="Deepak Yadav"/>
    <s v="North"/>
    <s v="Electronics"/>
    <n v="7"/>
    <n v="1992"/>
    <n v="13944"/>
    <x v="4"/>
    <n v="-86056"/>
    <n v="0.13944000000000001"/>
  </r>
  <r>
    <s v="ORD0123"/>
    <s v="29-11-2023"/>
    <s v="Rohan Mehta"/>
    <s v="West"/>
    <s v="Furniture"/>
    <n v="6"/>
    <n v="2316"/>
    <n v="13896"/>
    <x v="1"/>
    <n v="-61104"/>
    <n v="0.18528"/>
  </r>
  <r>
    <s v="ORD0105"/>
    <s v="27-03-2023"/>
    <s v="Deepak Yadav"/>
    <s v="West"/>
    <s v="Furniture"/>
    <n v="0"/>
    <n v="1688"/>
    <n v="0"/>
    <x v="1"/>
    <n v="-75000"/>
    <n v="0"/>
  </r>
  <r>
    <s v="ORD0189"/>
    <s v="29-01-2024"/>
    <s v="Rajesh Khanna"/>
    <s v="West"/>
    <s v="Electronics"/>
    <n v="4"/>
    <n v="3324"/>
    <n v="13296"/>
    <x v="4"/>
    <n v="-86704"/>
    <n v="0.13295999999999999"/>
  </r>
  <r>
    <s v="ORD0025"/>
    <s v="09-04-2024"/>
    <s v="Amit Sharma"/>
    <s v="East"/>
    <s v="Groceries"/>
    <n v="3"/>
    <n v="4358"/>
    <n v="13074"/>
    <x v="5"/>
    <n v="-56926"/>
    <n v="0.18677142857142856"/>
  </r>
  <r>
    <s v="ORD0062"/>
    <s v="08-12-2023"/>
    <s v="Nisha Bhatia"/>
    <s v="South"/>
    <s v="Clothing"/>
    <n v="3"/>
    <n v="3819"/>
    <n v="11457"/>
    <x v="2"/>
    <n v="-38543"/>
    <n v="0.22914000000000001"/>
  </r>
  <r>
    <s v="ORD0112"/>
    <s v="20-09-2023"/>
    <s v="Nisha Bhatia"/>
    <s v="East"/>
    <s v="Furniture"/>
    <n v="10"/>
    <n v="1138"/>
    <n v="11380"/>
    <x v="1"/>
    <n v="-63620"/>
    <n v="0.15173333333333333"/>
  </r>
  <r>
    <s v="ORD0118"/>
    <s v="19-04-2023"/>
    <s v="Meena Joshi"/>
    <s v="East"/>
    <s v="Stationery"/>
    <n v="3"/>
    <n v="3767"/>
    <n v="11301"/>
    <x v="0"/>
    <n v="-48699"/>
    <n v="0.18834999999999999"/>
  </r>
  <r>
    <s v="ORD0130"/>
    <s v="10-11-2023"/>
    <s v="Kavita Rao"/>
    <s v="South"/>
    <s v="Electronics"/>
    <n v="4"/>
    <n v="2784"/>
    <n v="11136"/>
    <x v="4"/>
    <n v="-88864"/>
    <n v="0.11136"/>
  </r>
  <r>
    <s v="ORD0052"/>
    <s v="20-08-2024"/>
    <s v="Pooja Nair"/>
    <s v="East"/>
    <s v="Clothing"/>
    <n v="4"/>
    <n v="2773"/>
    <n v="11092"/>
    <x v="2"/>
    <n v="-38908"/>
    <n v="0.22184000000000001"/>
  </r>
  <r>
    <s v="ORD0005"/>
    <s v="04-04-2024"/>
    <s v="Pooja Nair"/>
    <s v="East"/>
    <s v="Electronics"/>
    <n v="3"/>
    <n v="3662"/>
    <n v="10986"/>
    <x v="4"/>
    <n v="-89014"/>
    <n v="0.10986"/>
  </r>
  <r>
    <s v="ORD0085"/>
    <s v="11-06-2024"/>
    <s v="Deepak Yadav"/>
    <s v="East"/>
    <s v="Electronics"/>
    <n v="4"/>
    <n v="2742"/>
    <n v="10968"/>
    <x v="4"/>
    <n v="-89032"/>
    <n v="0.10968"/>
  </r>
  <r>
    <s v="ORD0047"/>
    <s v="20-10-2023"/>
    <s v="Meena Joshi"/>
    <s v="West"/>
    <s v="Furniture"/>
    <n v="4"/>
    <n v="2630"/>
    <n v="10520"/>
    <x v="1"/>
    <n v="-64480"/>
    <n v="0.14026666666666668"/>
  </r>
  <r>
    <s v="ORD0132"/>
    <s v="11-10-2023"/>
    <s v="Suresh Reddy"/>
    <s v="East"/>
    <s v="Electronics"/>
    <n v="4"/>
    <n v="2626"/>
    <n v="10504"/>
    <x v="4"/>
    <n v="-89496"/>
    <n v="0.10503999999999999"/>
  </r>
  <r>
    <s v="ORD0170"/>
    <s v="20-12-2023"/>
    <s v="Ankit Patel"/>
    <s v="West"/>
    <s v="Stationery"/>
    <n v="6"/>
    <n v="1745"/>
    <n v="10470"/>
    <x v="0"/>
    <n v="-49530"/>
    <n v="0.17449999999999999"/>
  </r>
  <r>
    <s v="ORD0024"/>
    <s v="18-10-2024"/>
    <s v="Ankit Patel"/>
    <s v="North"/>
    <s v="Clothing"/>
    <n v="7"/>
    <n v="1495"/>
    <n v="10465"/>
    <x v="2"/>
    <n v="-39535"/>
    <n v="0.20930000000000001"/>
  </r>
  <r>
    <s v="ORD0136"/>
    <s v="19-10-2023"/>
    <s v="Sunil Kumar"/>
    <s v="West"/>
    <s v="Stationery"/>
    <n v="6"/>
    <n v="1710"/>
    <n v="10260"/>
    <x v="0"/>
    <n v="-49740"/>
    <n v="0.17100000000000001"/>
  </r>
  <r>
    <s v="ORD0172"/>
    <s v="22-11-2023"/>
    <s v="Suresh Reddy"/>
    <s v="West"/>
    <s v="Stationery"/>
    <n v="7"/>
    <n v="1446"/>
    <n v="10122"/>
    <x v="0"/>
    <n v="-49878"/>
    <n v="0.16869999999999999"/>
  </r>
  <r>
    <s v="ORD0101"/>
    <s v="13-07-2024"/>
    <s v="Nisha Bhatia"/>
    <s v="South"/>
    <s v="Stationery"/>
    <n v="4"/>
    <n v="2435"/>
    <n v="9740"/>
    <x v="0"/>
    <n v="-50260"/>
    <n v="0.16233333333333333"/>
  </r>
  <r>
    <s v="ORD0095"/>
    <s v="09-10-2023"/>
    <s v="Sunil Kumar"/>
    <s v="North"/>
    <s v="Clothing"/>
    <n v="4"/>
    <n v="2425"/>
    <n v="9700"/>
    <x v="2"/>
    <n v="-40300"/>
    <n v="0.19400000000000001"/>
  </r>
  <r>
    <s v="ORD0059"/>
    <s v="20-04-2023"/>
    <s v="Suresh Reddy"/>
    <s v="South"/>
    <s v="Clothing"/>
    <n v="5"/>
    <n v="1925"/>
    <n v="9625"/>
    <x v="2"/>
    <n v="-40375"/>
    <n v="0.1925"/>
  </r>
  <r>
    <s v="ORD0082"/>
    <s v="05-11-2023"/>
    <s v="Meena Joshi"/>
    <s v="North"/>
    <s v="Clothing"/>
    <n v="5"/>
    <n v="1921"/>
    <n v="9605"/>
    <x v="2"/>
    <n v="-40395"/>
    <n v="0.19209999999999999"/>
  </r>
  <r>
    <s v="ORD0142"/>
    <s v="16-09-2024"/>
    <s v="Suresh Reddy"/>
    <s v="North"/>
    <s v="Furniture"/>
    <n v="4"/>
    <n v="2367"/>
    <n v="9468"/>
    <x v="1"/>
    <n v="-65532"/>
    <n v="0.12623999999999999"/>
  </r>
  <r>
    <s v="ORD0188"/>
    <s v="16-10-2024"/>
    <s v="Meena Joshi"/>
    <s v="East"/>
    <s v="Stationery"/>
    <n v="5"/>
    <n v="1831"/>
    <n v="9155"/>
    <x v="0"/>
    <n v="-50845"/>
    <n v="0.15258333333333332"/>
  </r>
  <r>
    <s v="ORD0043"/>
    <s v="18-04-2024"/>
    <s v="Neha Verma"/>
    <s v="North"/>
    <s v="Stationery"/>
    <n v="9"/>
    <n v="1002"/>
    <n v="9018"/>
    <x v="0"/>
    <n v="-50982"/>
    <n v="0.15029999999999999"/>
  </r>
  <r>
    <s v="ORD0192"/>
    <s v="24-08-2023"/>
    <s v="Pooja Nair"/>
    <s v="East"/>
    <s v="Furniture"/>
    <n v="4"/>
    <n v="2253"/>
    <n v="9012"/>
    <x v="1"/>
    <n v="-65988"/>
    <n v="0.12016"/>
  </r>
  <r>
    <s v="ORD0066"/>
    <s v="12-11-2023"/>
    <s v="Ankit Patel"/>
    <s v="North"/>
    <s v="Clothing"/>
    <n v="4"/>
    <n v="2244"/>
    <n v="8976"/>
    <x v="2"/>
    <n v="-41024"/>
    <n v="0.17952000000000001"/>
  </r>
  <r>
    <s v="ORD0155"/>
    <s v="23-02-2024"/>
    <s v="Ankit Patel"/>
    <s v="East"/>
    <s v="Electronics"/>
    <n v="3"/>
    <n v="2901"/>
    <n v="8703"/>
    <x v="4"/>
    <n v="-91297"/>
    <n v="8.7029999999999996E-2"/>
  </r>
  <r>
    <s v="ORD0029"/>
    <s v="11-11-2023"/>
    <s v="Neha Verma"/>
    <s v="North"/>
    <s v="Furniture"/>
    <n v="10"/>
    <n v="845"/>
    <n v="8450"/>
    <x v="1"/>
    <n v="-66550"/>
    <n v="0.11266666666666666"/>
  </r>
  <r>
    <s v="ORD0050"/>
    <s v="10-07-2023"/>
    <s v="Priya Singh"/>
    <s v="North"/>
    <s v="Furniture"/>
    <n v="7"/>
    <n v="1182"/>
    <n v="8274"/>
    <x v="1"/>
    <n v="-66726"/>
    <n v="0.11032"/>
  </r>
  <r>
    <s v="ORD0001"/>
    <s v="16-10-2024"/>
    <s v="Priya Singh"/>
    <s v="North"/>
    <s v="Clothing"/>
    <n v="4"/>
    <n v="2028"/>
    <n v="8112"/>
    <x v="2"/>
    <n v="-41888"/>
    <n v="0.16224"/>
  </r>
  <r>
    <s v="ORD0180"/>
    <s v="11-04-2023"/>
    <s v="Nisha Bhatia"/>
    <s v="North"/>
    <s v="Stationery"/>
    <n v="0"/>
    <n v="2653"/>
    <n v="0"/>
    <x v="0"/>
    <n v="-60000"/>
    <n v="0"/>
  </r>
  <r>
    <s v="ORD0049"/>
    <s v="21-08-2024"/>
    <s v="Sunil Kumar"/>
    <s v="South"/>
    <s v="Electronics"/>
    <n v="9"/>
    <n v="856"/>
    <n v="7704"/>
    <x v="4"/>
    <n v="-92296"/>
    <n v="7.7039999999999997E-2"/>
  </r>
  <r>
    <s v="ORD0069"/>
    <s v="07-12-2023"/>
    <s v="Nisha Bhatia"/>
    <s v="West"/>
    <s v="Furniture"/>
    <n v="5"/>
    <n v="1504"/>
    <n v="7520"/>
    <x v="1"/>
    <n v="-67480"/>
    <n v="0.10026666666666667"/>
  </r>
  <r>
    <s v="ORD0179"/>
    <s v="29-08-2023"/>
    <s v="Deepak Yadav"/>
    <s v="East"/>
    <s v="Furniture"/>
    <n v="2"/>
    <n v="3755"/>
    <n v="7510"/>
    <x v="1"/>
    <n v="-67490"/>
    <n v="0.10013333333333334"/>
  </r>
  <r>
    <s v="ORD0042"/>
    <s v="03-07-2024"/>
    <s v="Sunil Kumar"/>
    <s v="South"/>
    <s v="Stationery"/>
    <n v="3"/>
    <n v="2481"/>
    <n v="7443"/>
    <x v="0"/>
    <n v="-52557"/>
    <n v="0.12404999999999999"/>
  </r>
  <r>
    <s v="ORD0070"/>
    <s v="21-04-2023"/>
    <s v="Meena Joshi"/>
    <s v="North"/>
    <s v="Stationery"/>
    <n v="4"/>
    <n v="1834"/>
    <n v="7336"/>
    <x v="0"/>
    <n v="-52664"/>
    <n v="0.12226666666666666"/>
  </r>
  <r>
    <s v="ORD0143"/>
    <s v="25-03-2023"/>
    <s v="Rohan Mehta"/>
    <s v="South"/>
    <s v="Furniture"/>
    <n v="9"/>
    <n v="814"/>
    <n v="7326"/>
    <x v="1"/>
    <n v="-67674"/>
    <n v="9.7680000000000003E-2"/>
  </r>
  <r>
    <s v="ORD0002"/>
    <s v="23-05-2023"/>
    <s v="Suresh Reddy"/>
    <s v="North"/>
    <s v="Groceries"/>
    <n v="2"/>
    <n v="3656"/>
    <n v="7312"/>
    <x v="5"/>
    <n v="-62688"/>
    <n v="0.10445714285714286"/>
  </r>
  <r>
    <s v="ORD0051"/>
    <s v="06-08-2024"/>
    <s v="Neha Verma"/>
    <s v="North"/>
    <s v="Groceries"/>
    <n v="2"/>
    <n v="3634"/>
    <n v="7268"/>
    <x v="5"/>
    <n v="-62732"/>
    <n v="0.10382857142857142"/>
  </r>
  <r>
    <s v="ORD0097"/>
    <s v="28-01-2024"/>
    <s v="Suresh Reddy"/>
    <s v="South"/>
    <s v="Furniture"/>
    <n v="2"/>
    <n v="3598"/>
    <n v="7196"/>
    <x v="1"/>
    <n v="-67804"/>
    <n v="9.5946666666666666E-2"/>
  </r>
  <r>
    <s v="ORD0031"/>
    <s v="12-05-2023"/>
    <s v="Deepak Yadav"/>
    <s v="West"/>
    <s v="Groceries"/>
    <n v="3"/>
    <n v="2371"/>
    <n v="7113"/>
    <x v="5"/>
    <n v="-62887"/>
    <n v="0.10161428571428571"/>
  </r>
  <r>
    <s v="ORD0041"/>
    <s v="14-12-2023"/>
    <s v="Nisha Bhatia"/>
    <s v="North"/>
    <s v="Furniture"/>
    <n v="4"/>
    <n v="1758"/>
    <n v="7032"/>
    <x v="1"/>
    <n v="-67968"/>
    <n v="9.3759999999999996E-2"/>
  </r>
  <r>
    <s v="ORD0137"/>
    <s v="22-02-2023"/>
    <s v="Kavita Rao"/>
    <s v="West"/>
    <s v="Electronics"/>
    <n v="2"/>
    <n v="3482"/>
    <n v="6964"/>
    <x v="4"/>
    <n v="-93036"/>
    <n v="6.9639999999999994E-2"/>
  </r>
  <r>
    <s v="ORD0141"/>
    <s v="29-03-2024"/>
    <s v="Kavita Rao"/>
    <s v="West"/>
    <s v="Clothing"/>
    <n v="10"/>
    <n v="693"/>
    <n v="6930"/>
    <x v="2"/>
    <n v="-43070"/>
    <n v="0.1386"/>
  </r>
  <r>
    <s v="ORD0197"/>
    <s v="18-06-2023"/>
    <s v="Kavita Rao"/>
    <s v="West"/>
    <s v="Clothing"/>
    <n v="6"/>
    <n v="1143"/>
    <n v="6858"/>
    <x v="2"/>
    <n v="-43142"/>
    <n v="0.13716"/>
  </r>
  <r>
    <s v="ORD0147"/>
    <s v="11-03-2024"/>
    <s v="Priya Singh"/>
    <s v="South"/>
    <s v="Furniture"/>
    <n v="5"/>
    <n v="1365"/>
    <n v="6825"/>
    <x v="1"/>
    <n v="-68175"/>
    <n v="9.0999999999999998E-2"/>
  </r>
  <r>
    <s v="ORD0018"/>
    <s v="20-10-2024"/>
    <s v="Sunil Kumar"/>
    <s v="South"/>
    <s v="Clothing"/>
    <n v="3"/>
    <n v="2220"/>
    <n v="6660"/>
    <x v="2"/>
    <n v="-43340"/>
    <n v="0.13320000000000001"/>
  </r>
  <r>
    <s v="ORD0008"/>
    <s v="14-02-2023"/>
    <s v="Suresh Reddy"/>
    <s v="West"/>
    <s v="Groceries"/>
    <n v="2"/>
    <n v="3300"/>
    <n v="6600"/>
    <x v="5"/>
    <n v="-63400"/>
    <n v="9.4285714285714292E-2"/>
  </r>
  <r>
    <s v="ORD0110"/>
    <s v="24-07-2023"/>
    <s v="Rajesh Khanna"/>
    <s v="North"/>
    <s v="Groceries"/>
    <n v="3"/>
    <n v="2154"/>
    <n v="6462"/>
    <x v="5"/>
    <n v="-63538"/>
    <n v="9.231428571428571E-2"/>
  </r>
  <r>
    <s v="ORD0055"/>
    <s v="13-04-2023"/>
    <s v="Priya Singh"/>
    <s v="South"/>
    <s v="Groceries"/>
    <n v="5"/>
    <n v="1285"/>
    <n v="6425"/>
    <x v="5"/>
    <n v="-63575"/>
    <n v="9.178571428571429E-2"/>
  </r>
  <r>
    <s v="ORD0067"/>
    <s v="16-04-2023"/>
    <s v="Ankit Patel"/>
    <s v="West"/>
    <s v="Groceries"/>
    <n v="3"/>
    <n v="2139"/>
    <n v="6417"/>
    <x v="5"/>
    <n v="-63583"/>
    <n v="9.167142857142857E-2"/>
  </r>
  <r>
    <s v="ORD0028"/>
    <s v="05-09-2024"/>
    <s v="NA"/>
    <s v="West"/>
    <s v="Electronics"/>
    <n v="2"/>
    <n v="3173"/>
    <n v="6346"/>
    <x v="4"/>
    <n v="-93654"/>
    <n v="6.3460000000000003E-2"/>
  </r>
  <r>
    <s v="ORD0096"/>
    <s v="10-12-2023"/>
    <s v="NA"/>
    <s v="North"/>
    <s v="Furniture"/>
    <n v="3"/>
    <n v="2094"/>
    <n v="6282"/>
    <x v="1"/>
    <n v="-68718"/>
    <n v="8.3760000000000001E-2"/>
  </r>
  <r>
    <s v="ORD0044"/>
    <s v="21-02-2023"/>
    <s v="Deepak Yadav"/>
    <s v="North"/>
    <s v="Electronics"/>
    <n v="4"/>
    <n v="1562"/>
    <n v="6248"/>
    <x v="4"/>
    <n v="-93752"/>
    <n v="6.2480000000000001E-2"/>
  </r>
  <r>
    <s v="ORD0006"/>
    <s v="15-12-2023"/>
    <s v="Kavita Rao"/>
    <s v="South"/>
    <s v="Furniture"/>
    <n v="6"/>
    <n v="1037"/>
    <n v="6222"/>
    <x v="1"/>
    <n v="-68778"/>
    <n v="8.2960000000000006E-2"/>
  </r>
  <r>
    <s v="ORD0115"/>
    <s v="29-08-2024"/>
    <s v="Suresh Reddy"/>
    <s v="South"/>
    <s v="Electronics"/>
    <n v="5"/>
    <n v="1191"/>
    <n v="5955"/>
    <x v="4"/>
    <n v="-94045"/>
    <n v="5.9549999999999999E-2"/>
  </r>
  <r>
    <s v="ORD0058"/>
    <s v="21-07-2024"/>
    <s v="Kavita Rao"/>
    <s v="North"/>
    <s v="Furniture"/>
    <n v="5"/>
    <n v="1145"/>
    <n v="5725"/>
    <x v="1"/>
    <n v="-69275"/>
    <n v="7.6333333333333336E-2"/>
  </r>
  <r>
    <s v="ORD0080"/>
    <s v="01-12-2023"/>
    <s v="Meena Joshi"/>
    <s v="East"/>
    <s v="Groceries"/>
    <n v="3"/>
    <n v="1771"/>
    <n v="5313"/>
    <x v="5"/>
    <n v="-64687"/>
    <n v="7.5899999999999995E-2"/>
  </r>
  <r>
    <s v="ORD0152"/>
    <s v="04-04-2023"/>
    <s v="Neha Verma"/>
    <s v="North"/>
    <s v="Clothing"/>
    <n v="10"/>
    <n v="529"/>
    <n v="5290"/>
    <x v="2"/>
    <n v="-44710"/>
    <n v="0.10580000000000001"/>
  </r>
  <r>
    <s v="ORD0194"/>
    <s v="04-02-2023"/>
    <s v="Pooja Nair"/>
    <s v="East"/>
    <s v="Furniture"/>
    <n v="2"/>
    <n v="2617"/>
    <n v="5234"/>
    <x v="1"/>
    <n v="-69766"/>
    <n v="6.9786666666666664E-2"/>
  </r>
  <r>
    <s v="ORD0195"/>
    <s v="01-12-2023"/>
    <s v="Suresh Reddy"/>
    <s v="West"/>
    <s v="Furniture"/>
    <n v="4"/>
    <n v="1282"/>
    <n v="5128"/>
    <x v="1"/>
    <n v="-69872"/>
    <n v="6.8373333333333328E-2"/>
  </r>
  <r>
    <s v="ORD0084"/>
    <s v="07-08-2023"/>
    <s v="Aman Gupta"/>
    <s v="NA"/>
    <s v="Furniture"/>
    <n v="2"/>
    <n v="2524"/>
    <n v="5048"/>
    <x v="1"/>
    <n v="-69952"/>
    <n v="6.7306666666666667E-2"/>
  </r>
  <r>
    <s v="ORD0072"/>
    <s v="17-07-2023"/>
    <s v="Meena Joshi"/>
    <s v="East"/>
    <s v="Clothing"/>
    <n v="2"/>
    <n v="2486"/>
    <n v="4972"/>
    <x v="2"/>
    <n v="-45028"/>
    <n v="9.9440000000000001E-2"/>
  </r>
  <r>
    <s v="ORD0135"/>
    <s v="10-05-2023"/>
    <s v="Deepak Yadav"/>
    <s v="West"/>
    <s v="Electronics"/>
    <n v="1"/>
    <n v="4902"/>
    <n v="4902"/>
    <x v="4"/>
    <n v="-95098"/>
    <n v="4.9020000000000001E-2"/>
  </r>
  <r>
    <s v="ORD0045"/>
    <s v="21-02-2024"/>
    <s v="Sunil Kumar"/>
    <s v="West"/>
    <s v="Furniture"/>
    <n v="7"/>
    <n v="680"/>
    <n v="4760"/>
    <x v="1"/>
    <n v="-70240"/>
    <n v="6.3466666666666671E-2"/>
  </r>
  <r>
    <s v="ORD0158"/>
    <s v="29-04-2023"/>
    <s v="Nisha Bhatia"/>
    <s v="West"/>
    <s v="Groceries"/>
    <n v="1"/>
    <n v="4644"/>
    <n v="4644"/>
    <x v="5"/>
    <n v="-65356"/>
    <n v="6.6342857142857148E-2"/>
  </r>
  <r>
    <s v="ORD0133"/>
    <s v="21-08-2023"/>
    <s v="Ankit Patel"/>
    <s v="South"/>
    <s v="Clothing"/>
    <n v="1"/>
    <n v="4575"/>
    <n v="4575"/>
    <x v="2"/>
    <n v="-45425"/>
    <n v="9.1499999999999998E-2"/>
  </r>
  <r>
    <s v="ORD0021"/>
    <s v="04-04-2023"/>
    <m/>
    <s v="North"/>
    <s v="Electronics"/>
    <n v="3"/>
    <n v="1510"/>
    <n v="4530"/>
    <x v="4"/>
    <n v="-95470"/>
    <n v="4.53E-2"/>
  </r>
  <r>
    <s v="ORD0163"/>
    <s v="15-01-2023"/>
    <s v="Aman Gupta"/>
    <s v="West"/>
    <s v="Uncategorized"/>
    <n v="4"/>
    <n v="1129"/>
    <n v="4516"/>
    <x v="3"/>
    <n v="-15484"/>
    <n v="0.2258"/>
  </r>
  <r>
    <s v="ORD0124"/>
    <s v="15-12-2023"/>
    <s v="Kavita Rao"/>
    <s v="East"/>
    <s v="Groceries"/>
    <n v="1"/>
    <n v="4432"/>
    <n v="4432"/>
    <x v="5"/>
    <n v="-65568"/>
    <n v="6.3314285714285712E-2"/>
  </r>
  <r>
    <s v="ORD0122"/>
    <s v="16-09-2024"/>
    <s v="Deepak Yadav"/>
    <s v="West"/>
    <s v="Clothing"/>
    <n v="1"/>
    <n v="4249"/>
    <n v="4249"/>
    <x v="2"/>
    <n v="-45751"/>
    <n v="8.498E-2"/>
  </r>
  <r>
    <s v="ORD0104"/>
    <s v="28-01-2023"/>
    <s v="Simran Kaur"/>
    <s v="West"/>
    <s v="Groceries"/>
    <n v="10"/>
    <n v="422"/>
    <n v="4220"/>
    <x v="5"/>
    <n v="-65780"/>
    <n v="6.0285714285714283E-2"/>
  </r>
  <r>
    <s v="ORD0171"/>
    <s v="02-09-2023"/>
    <s v="Pooja Nair"/>
    <s v="West"/>
    <s v="Furniture"/>
    <n v="7"/>
    <n v="557"/>
    <n v="3899"/>
    <x v="1"/>
    <n v="-71101"/>
    <n v="5.1986666666666667E-2"/>
  </r>
  <r>
    <s v="ORD0016"/>
    <s v="02-02-2023"/>
    <s v="Nisha Bhatia"/>
    <s v="East"/>
    <s v="Stationery"/>
    <n v="5"/>
    <n v="742"/>
    <n v="3710"/>
    <x v="0"/>
    <n v="-56290"/>
    <n v="6.183333333333333E-2"/>
  </r>
  <r>
    <s v="ORD0120"/>
    <s v="21-04-2024"/>
    <s v="Meena Joshi"/>
    <s v="East"/>
    <s v="Clothing"/>
    <n v="4"/>
    <n v="909"/>
    <n v="3636"/>
    <x v="2"/>
    <n v="-46364"/>
    <n v="7.2720000000000007E-2"/>
  </r>
  <r>
    <s v="ORD0040"/>
    <s v="25-02-2024"/>
    <s v="Sunil Kumar"/>
    <s v="North"/>
    <s v="Electronics"/>
    <n v="1"/>
    <n v="3498"/>
    <n v="3498"/>
    <x v="4"/>
    <n v="-96502"/>
    <n v="3.4979999999999997E-2"/>
  </r>
  <r>
    <s v="ORD0190"/>
    <s v="08-08-2024"/>
    <s v="Ankit Patel"/>
    <s v="East"/>
    <s v="Clothing"/>
    <n v="1"/>
    <n v="3442"/>
    <n v="3442"/>
    <x v="2"/>
    <n v="-46558"/>
    <n v="6.8839999999999998E-2"/>
  </r>
  <r>
    <s v="ORD0114"/>
    <s v="12-08-2024"/>
    <s v="Deepak Yadav"/>
    <s v="West"/>
    <s v="Stationery"/>
    <n v="4"/>
    <n v="822"/>
    <n v="3288"/>
    <x v="0"/>
    <n v="-56712"/>
    <n v="5.4800000000000001E-2"/>
  </r>
  <r>
    <s v="ORD0064"/>
    <s v="19-03-2023"/>
    <s v="Simran Kaur"/>
    <s v="South"/>
    <s v="Groceries"/>
    <n v="1"/>
    <n v="3224"/>
    <n v="3224"/>
    <x v="5"/>
    <n v="-66776"/>
    <n v="4.6057142857142859E-2"/>
  </r>
  <r>
    <s v="ORD0108"/>
    <s v="25-03-2023"/>
    <s v="Sunil Kumar"/>
    <s v="North"/>
    <s v="Groceries"/>
    <n v="1"/>
    <n v="3066"/>
    <n v="3066"/>
    <x v="5"/>
    <n v="-66934"/>
    <n v="4.3799999999999999E-2"/>
  </r>
  <r>
    <s v="ORD0113"/>
    <s v="17-06-2023"/>
    <s v="Kavita Rao"/>
    <s v="North"/>
    <s v="Groceries"/>
    <n v="1"/>
    <n v="2755"/>
    <n v="2755"/>
    <x v="5"/>
    <n v="-67245"/>
    <n v="3.9357142857142854E-2"/>
  </r>
  <r>
    <s v="ORD0126"/>
    <s v="04-09-2023"/>
    <s v="Suresh Reddy"/>
    <s v="West"/>
    <s v="Stationery"/>
    <n v="8"/>
    <n v="341"/>
    <n v="2728"/>
    <x v="0"/>
    <n v="-57272"/>
    <n v="4.5466666666666669E-2"/>
  </r>
  <r>
    <s v="ORD0073"/>
    <s v="26-12-2023"/>
    <s v="Deepak Yadav"/>
    <s v="West"/>
    <s v="Groceries"/>
    <n v="6"/>
    <n v="426"/>
    <n v="2556"/>
    <x v="5"/>
    <n v="-67444"/>
    <n v="3.6514285714285714E-2"/>
  </r>
  <r>
    <s v="ORD0183"/>
    <s v="02-08-2024"/>
    <s v="Deepak Yadav"/>
    <s v="South"/>
    <s v="Furniture"/>
    <n v="3"/>
    <n v="846"/>
    <n v="2538"/>
    <x v="1"/>
    <n v="-72462"/>
    <n v="3.3840000000000002E-2"/>
  </r>
  <r>
    <s v="ORD0175"/>
    <s v="16-01-2023"/>
    <s v="Suresh Reddy"/>
    <s v="South"/>
    <s v="Stationery"/>
    <n v="3"/>
    <n v="812"/>
    <n v="2436"/>
    <x v="0"/>
    <n v="-57564"/>
    <n v="4.0599999999999997E-2"/>
  </r>
  <r>
    <s v="ORD0057"/>
    <s v="11-06-2023"/>
    <s v="Sunil Kumar"/>
    <s v="East"/>
    <s v="Uncategorized"/>
    <n v="9"/>
    <n v="264"/>
    <n v="2376"/>
    <x v="3"/>
    <n v="-17624"/>
    <n v="0.1188"/>
  </r>
  <r>
    <s v="ORD0034"/>
    <s v="04-05-2023"/>
    <s v="Neha Verma"/>
    <s v="South"/>
    <s v="Electronics"/>
    <n v="6"/>
    <n v="372"/>
    <n v="2232"/>
    <x v="4"/>
    <n v="-97768"/>
    <n v="2.232E-2"/>
  </r>
  <r>
    <s v="ORD0109"/>
    <s v="18-08-2023"/>
    <s v="Deepak Yadav"/>
    <s v="North"/>
    <s v="Electronics"/>
    <n v="1"/>
    <n v="2225"/>
    <n v="2225"/>
    <x v="4"/>
    <n v="-97775"/>
    <n v="2.2249999999999999E-2"/>
  </r>
  <r>
    <s v="ORD0015"/>
    <s v="04-10-2023"/>
    <s v="Simran Kaur"/>
    <s v="South"/>
    <s v="Clothing"/>
    <n v="1"/>
    <n v="2076"/>
    <n v="2076"/>
    <x v="2"/>
    <n v="-47924"/>
    <n v="4.1520000000000001E-2"/>
  </r>
  <r>
    <s v="ORD0151"/>
    <s v="18-03-2024"/>
    <s v="Suresh Reddy"/>
    <s v="East"/>
    <s v="Groceries"/>
    <n v="5"/>
    <n v="411"/>
    <n v="2055"/>
    <x v="5"/>
    <n v="-67945"/>
    <n v="2.9357142857142856E-2"/>
  </r>
  <r>
    <s v="ORD0098"/>
    <s v="22-02-2024"/>
    <s v="Ankit Patel"/>
    <s v="West"/>
    <s v="Stationery"/>
    <n v="1"/>
    <n v="1894"/>
    <n v="1894"/>
    <x v="0"/>
    <n v="-58106"/>
    <n v="3.1566666666666666E-2"/>
  </r>
  <r>
    <s v="ORD0160"/>
    <s v="29-09-2024"/>
    <s v="Nisha Bhatia"/>
    <s v="West"/>
    <s v="Stationery"/>
    <n v="1"/>
    <n v="1867"/>
    <n v="1867"/>
    <x v="0"/>
    <n v="-58133"/>
    <n v="3.1116666666666667E-2"/>
  </r>
  <r>
    <s v="ORD0027"/>
    <s v="06-06-2023"/>
    <s v="Ankit Patel"/>
    <s v="South"/>
    <s v="Groceries"/>
    <n v="9"/>
    <n v="204"/>
    <n v="1836"/>
    <x v="5"/>
    <n v="-68164"/>
    <n v="2.6228571428571427E-2"/>
  </r>
  <r>
    <s v="ORD0068"/>
    <s v="16-06-2023"/>
    <s v="Nisha Bhatia"/>
    <s v="South"/>
    <s v="Stationery"/>
    <n v="1"/>
    <n v="1669"/>
    <n v="1669"/>
    <x v="0"/>
    <n v="-58331"/>
    <n v="2.7816666666666667E-2"/>
  </r>
  <r>
    <s v="ORD0065"/>
    <s v="19-08-2024"/>
    <s v="Aman Gupta"/>
    <s v="South"/>
    <s v="Stationery"/>
    <n v="3"/>
    <n v="542"/>
    <n v="1626"/>
    <x v="0"/>
    <n v="-58374"/>
    <n v="2.7099999999999999E-2"/>
  </r>
  <r>
    <s v="ORD0071"/>
    <s v="16-04-2024"/>
    <s v="Ankit Patel"/>
    <s v="East"/>
    <s v="Furniture"/>
    <n v="4"/>
    <n v="393"/>
    <n v="1572"/>
    <x v="1"/>
    <n v="-73428"/>
    <n v="2.0959999999999999E-2"/>
  </r>
  <r>
    <s v="ORD0063"/>
    <s v="18-07-2024"/>
    <s v="Suresh Reddy"/>
    <s v="West"/>
    <s v="Groceries"/>
    <n v="1"/>
    <n v="1116"/>
    <n v="1116"/>
    <x v="5"/>
    <n v="-68884"/>
    <n v="1.5942857142857144E-2"/>
  </r>
  <r>
    <s v="ORD0150"/>
    <s v="06-10-2023"/>
    <s v="Aman Gupta"/>
    <s v="West"/>
    <s v="Stationery"/>
    <n v="2"/>
    <n v="526"/>
    <n v="1052"/>
    <x v="0"/>
    <n v="-58948"/>
    <n v="1.7533333333333335E-2"/>
  </r>
  <r>
    <s v="ORD0035"/>
    <s v="25-08-2024"/>
    <s v="Aman Gupta"/>
    <s v="South"/>
    <s v="Groceries"/>
    <n v="4"/>
    <n v="258"/>
    <n v="1032"/>
    <x v="5"/>
    <n v="-68968"/>
    <n v="1.4742857142857143E-2"/>
  </r>
  <r>
    <s v="ORD0178"/>
    <s v="03-10-2024"/>
    <s v="Suresh Reddy"/>
    <s v="West"/>
    <s v="Groceries"/>
    <n v="1"/>
    <n v="760"/>
    <n v="760"/>
    <x v="5"/>
    <n v="-69240"/>
    <n v="1.0857142857142857E-2"/>
  </r>
  <r>
    <s v="ORD0048"/>
    <s v="11-08-2023"/>
    <s v="Amit Sharma"/>
    <s v="North"/>
    <s v="Clothing"/>
    <n v="1"/>
    <n v="610"/>
    <n v="610"/>
    <x v="2"/>
    <n v="-49390"/>
    <n v="1.2200000000000001E-2"/>
  </r>
  <r>
    <s v="ORD0086"/>
    <s v="19-08-2023"/>
    <s v="Nisha Bhatia"/>
    <s v="South"/>
    <s v="Furniture"/>
    <n v="1"/>
    <n v="578"/>
    <n v="578"/>
    <x v="1"/>
    <n v="-74422"/>
    <n v="7.7066666666666664E-3"/>
  </r>
  <r>
    <s v="ORD0010"/>
    <s v="16-07-2023"/>
    <s v="Suresh Reddy"/>
    <s v="North"/>
    <s v="Electronics"/>
    <n v="4"/>
    <n v="0"/>
    <n v="0"/>
    <x v="4"/>
    <n v="-100000"/>
    <n v="0"/>
  </r>
  <r>
    <s v="ORD0012"/>
    <s v="09-04-2024"/>
    <s v="Deepak Yadav"/>
    <s v="East"/>
    <s v="Furniture"/>
    <n v="6"/>
    <n v="0"/>
    <n v="0"/>
    <x v="1"/>
    <n v="-75000"/>
    <n v="0"/>
  </r>
  <r>
    <s v="ORD0030"/>
    <s v="29-03-2023"/>
    <s v="Suresh Reddy"/>
    <s v="West"/>
    <s v="Electronics"/>
    <n v="9"/>
    <n v="0"/>
    <n v="0"/>
    <x v="4"/>
    <n v="-100000"/>
    <n v="0"/>
  </r>
  <r>
    <s v="ORD0036"/>
    <s v="14-03-2023"/>
    <s v="Suresh Reddy"/>
    <s v="North"/>
    <s v="Furniture"/>
    <n v="2"/>
    <n v="0"/>
    <n v="0"/>
    <x v="1"/>
    <n v="-75000"/>
    <n v="0"/>
  </r>
  <r>
    <s v="ORD0078"/>
    <s v="21-07-2023"/>
    <s v="Ankit Patel"/>
    <s v="West"/>
    <s v="Electronics"/>
    <n v="0"/>
    <n v="0"/>
    <n v="0"/>
    <x v="4"/>
    <n v="-10000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127"/>
    <s v="06-04-2023"/>
    <s v="Kavita Rao"/>
    <x v="0"/>
    <x v="0"/>
    <n v="4"/>
    <n v="2708"/>
    <n v="10832"/>
  </r>
  <r>
    <s v="ORD0138"/>
    <s v="18-05-2024"/>
    <s v="Priya Singh"/>
    <x v="1"/>
    <x v="1"/>
    <n v="3"/>
    <n v="4810"/>
    <n v="14430"/>
  </r>
  <r>
    <s v="ORD0061"/>
    <s v="22-02-2023"/>
    <s v="Priya Singh"/>
    <x v="2"/>
    <x v="2"/>
    <n v="1"/>
    <n v="229"/>
    <n v="229"/>
  </r>
  <r>
    <s v="ORD0081"/>
    <s v="06-03-2024"/>
    <s v="Deepak Yadav"/>
    <x v="2"/>
    <x v="1"/>
    <n v="10"/>
    <n v="4862"/>
    <n v="48620"/>
  </r>
  <r>
    <s v="ORD0148"/>
    <s v="15-03-2023"/>
    <s v="Amit Sharma"/>
    <x v="0"/>
    <x v="2"/>
    <n v="10"/>
    <n v="4862"/>
    <n v="48620"/>
  </r>
  <r>
    <s v="ORD0103"/>
    <s v="19-06-2023"/>
    <s v="Rajesh Khanna"/>
    <x v="2"/>
    <x v="1"/>
    <n v="10"/>
    <n v="4575"/>
    <n v="45750"/>
  </r>
  <r>
    <s v="ORD0166"/>
    <s v="18-07-2024"/>
    <s v="Rohan Mehta"/>
    <x v="2"/>
    <x v="3"/>
    <n v="10"/>
    <n v="4363"/>
    <n v="43630"/>
  </r>
  <r>
    <s v="ORD0091"/>
    <s v="05-05-2023"/>
    <s v="Sunil Kumar"/>
    <x v="0"/>
    <x v="0"/>
    <n v="9"/>
    <n v="4778"/>
    <n v="43002"/>
  </r>
  <r>
    <s v="ORD0077"/>
    <s v="18-09-2023"/>
    <s v="Amit Sharma"/>
    <x v="2"/>
    <x v="4"/>
    <n v="9"/>
    <n v="4610"/>
    <n v="41490"/>
  </r>
  <r>
    <s v="ORD0144"/>
    <s v="10-06-2023"/>
    <s v="Amit Sharma"/>
    <x v="3"/>
    <x v="0"/>
    <n v="10"/>
    <n v="4049"/>
    <n v="40490"/>
  </r>
  <r>
    <s v="ORD0121"/>
    <s v="13-10-2023"/>
    <s v="Simran Kaur"/>
    <x v="3"/>
    <x v="1"/>
    <n v="8"/>
    <n v="4868"/>
    <n v="38944"/>
  </r>
  <r>
    <s v="ORD0054"/>
    <s v="20-11-2023"/>
    <s v="Simran Kaur"/>
    <x v="1"/>
    <x v="4"/>
    <n v="8"/>
    <n v="4812"/>
    <n v="38496"/>
  </r>
  <r>
    <s v="ORD0020"/>
    <s v="13-02-2024"/>
    <s v="Ankit Patel"/>
    <x v="0"/>
    <x v="1"/>
    <n v="9"/>
    <n v="4242"/>
    <n v="38178"/>
  </r>
  <r>
    <s v="ORD0125"/>
    <s v="15-07-2023"/>
    <s v="Priya Singh"/>
    <x v="0"/>
    <x v="0"/>
    <n v="8"/>
    <n v="4748"/>
    <n v="37984"/>
  </r>
  <r>
    <s v="ORD0169"/>
    <s v="16-05-2024"/>
    <s v="Rajesh Khanna"/>
    <x v="0"/>
    <x v="0"/>
    <n v="9"/>
    <n v="4167"/>
    <n v="37503"/>
  </r>
  <r>
    <s v="ORD0119"/>
    <s v="30-06-2023"/>
    <s v="Suresh Reddy"/>
    <x v="4"/>
    <x v="5"/>
    <n v="0"/>
    <n v="4160"/>
    <n v="0"/>
  </r>
  <r>
    <s v="ORD0174"/>
    <s v="13-04-2023"/>
    <s v="Rajesh Khanna"/>
    <x v="2"/>
    <x v="4"/>
    <n v="9"/>
    <n v="3943"/>
    <n v="35487"/>
  </r>
  <r>
    <s v="ORD0033"/>
    <s v="16-11-2023"/>
    <s v="Meena Joshi"/>
    <x v="4"/>
    <x v="0"/>
    <n v="9"/>
    <n v="3898"/>
    <n v="35082"/>
  </r>
  <r>
    <s v="ORD0019"/>
    <s v="28-07-2024"/>
    <s v="Aman Gupta"/>
    <x v="4"/>
    <x v="5"/>
    <n v="7"/>
    <n v="4980"/>
    <n v="34860"/>
  </r>
  <r>
    <s v="ORD0176"/>
    <s v="25-04-2024"/>
    <s v="Nisha Bhatia"/>
    <x v="4"/>
    <x v="2"/>
    <n v="10"/>
    <n v="3456"/>
    <n v="34560"/>
  </r>
  <r>
    <s v="ORD0087"/>
    <s v="08-09-2023"/>
    <s v="Sunil Kumar"/>
    <x v="1"/>
    <x v="0"/>
    <n v="7"/>
    <n v="4915"/>
    <n v="34405"/>
  </r>
  <r>
    <s v="ORD0116"/>
    <s v="02-08-2024"/>
    <s v="Nisha Bhatia"/>
    <x v="1"/>
    <x v="2"/>
    <n v="9"/>
    <n v="3709"/>
    <n v="33381"/>
  </r>
  <r>
    <s v="ORD0161"/>
    <s v="01-10-2023"/>
    <s v="Aman Gupta"/>
    <x v="0"/>
    <x v="2"/>
    <n v="8"/>
    <n v="4170"/>
    <n v="33360"/>
  </r>
  <r>
    <s v="ORD0198"/>
    <s v="24-04-2024"/>
    <s v="Priya Singh"/>
    <x v="0"/>
    <x v="1"/>
    <n v="7"/>
    <n v="4765"/>
    <n v="33355"/>
  </r>
  <r>
    <s v="ORD0092"/>
    <s v="01-09-2024"/>
    <s v="Ankit Patel"/>
    <x v="2"/>
    <x v="5"/>
    <n v="9"/>
    <n v="3695"/>
    <n v="33255"/>
  </r>
  <r>
    <s v="ORD0200"/>
    <s v="07-05-2023"/>
    <s v="Sunil Kumar"/>
    <x v="4"/>
    <x v="2"/>
    <n v="10"/>
    <n v="3321"/>
    <n v="33210"/>
  </r>
  <r>
    <s v="ORD0156"/>
    <s v="26-02-2024"/>
    <s v="Suresh Reddy"/>
    <x v="2"/>
    <x v="2"/>
    <n v="7"/>
    <n v="4706"/>
    <n v="32942"/>
  </r>
  <r>
    <s v="ORD0139"/>
    <s v="08-11-2023"/>
    <s v="Priya Singh"/>
    <x v="0"/>
    <x v="4"/>
    <n v="9"/>
    <n v="3609"/>
    <n v="32481"/>
  </r>
  <r>
    <s v="ORD0100"/>
    <s v="07-01-2023"/>
    <s v="Ankit Patel"/>
    <x v="4"/>
    <x v="0"/>
    <n v="7"/>
    <n v="4609"/>
    <n v="32263"/>
  </r>
  <r>
    <s v="ORD0182"/>
    <s v="19-01-2024"/>
    <s v="Meena Joshi"/>
    <x v="0"/>
    <x v="1"/>
    <n v="9"/>
    <n v="3575"/>
    <n v="32175"/>
  </r>
  <r>
    <s v="ORD0083"/>
    <s v="16-03-2024"/>
    <s v="Nisha Bhatia"/>
    <x v="4"/>
    <x v="0"/>
    <n v="8"/>
    <n v="3822"/>
    <n v="30576"/>
  </r>
  <r>
    <s v="ORD0009"/>
    <s v="22-03-2023"/>
    <s v="Aman Gupta"/>
    <x v="4"/>
    <x v="5"/>
    <n v="6"/>
    <n v="4929"/>
    <n v="29574"/>
  </r>
  <r>
    <s v="ORD0117"/>
    <s v="15-01-2024"/>
    <s v="Priya Singh"/>
    <x v="4"/>
    <x v="4"/>
    <n v="7"/>
    <n v="4215"/>
    <n v="29505"/>
  </r>
  <r>
    <s v="ORD0173"/>
    <s v="22-05-2024"/>
    <s v="NA"/>
    <x v="0"/>
    <x v="5"/>
    <n v="10"/>
    <n v="2919"/>
    <n v="29190"/>
  </r>
  <r>
    <s v="ORD0099"/>
    <s v="06-03-2024"/>
    <s v="Meena Joshi"/>
    <x v="1"/>
    <x v="5"/>
    <n v="7"/>
    <n v="4107"/>
    <n v="28749"/>
  </r>
  <r>
    <s v="ORD0159"/>
    <s v="18-04-2024"/>
    <s v="Meena Joshi"/>
    <x v="3"/>
    <x v="1"/>
    <n v="9"/>
    <n v="3163"/>
    <n v="28467"/>
  </r>
  <r>
    <s v="ORD0038"/>
    <s v="06-07-2024"/>
    <s v="Rohan Mehta"/>
    <x v="2"/>
    <x v="1"/>
    <n v="8"/>
    <n v="3534"/>
    <n v="28272"/>
  </r>
  <r>
    <s v="ORD0022"/>
    <s v="08-03-2024"/>
    <s v="Pooja Nair"/>
    <x v="1"/>
    <x v="0"/>
    <n v="7"/>
    <n v="4034"/>
    <n v="28238"/>
  </r>
  <r>
    <s v="ORD0017"/>
    <s v="05-08-2023"/>
    <s v="Simran Kaur"/>
    <x v="4"/>
    <x v="3"/>
    <n v="8"/>
    <n v="3441"/>
    <n v="27528"/>
  </r>
  <r>
    <s v="ORD0140"/>
    <s v="12-09-2024"/>
    <s v="Pooja Nair"/>
    <x v="0"/>
    <x v="5"/>
    <n v="7"/>
    <n v="3890"/>
    <n v="27230"/>
  </r>
  <r>
    <s v="ORD0128"/>
    <s v="18-08-2024"/>
    <s v="Ankit Patel"/>
    <x v="2"/>
    <x v="5"/>
    <n v="9"/>
    <n v="3016"/>
    <n v="27144"/>
  </r>
  <r>
    <s v="ORD0187"/>
    <s v="11-06-2023"/>
    <s v="Priya Singh"/>
    <x v="2"/>
    <x v="2"/>
    <n v="10"/>
    <n v="2650"/>
    <n v="26500"/>
  </r>
  <r>
    <s v="ORD0014"/>
    <s v="30-06-2024"/>
    <s v="Suresh Reddy"/>
    <x v="0"/>
    <x v="1"/>
    <n v="8"/>
    <n v="3308"/>
    <n v="26464"/>
  </r>
  <r>
    <s v="ORD0168"/>
    <s v="03-06-2024"/>
    <s v="Kavita Rao"/>
    <x v="1"/>
    <x v="2"/>
    <n v="5"/>
    <n v="4950"/>
    <n v="24750"/>
  </r>
  <r>
    <s v="ORD0154"/>
    <s v="22-03-2024"/>
    <s v="Deepak Yadav"/>
    <x v="2"/>
    <x v="4"/>
    <n v="8"/>
    <n v="3050"/>
    <n v="24400"/>
  </r>
  <r>
    <s v="ORD0074"/>
    <s v="29-04-2023"/>
    <s v="Simran Kaur"/>
    <x v="4"/>
    <x v="1"/>
    <n v="10"/>
    <n v="2374"/>
    <n v="23740"/>
  </r>
  <r>
    <s v="ORD0162"/>
    <s v="05-05-2023"/>
    <s v="Amit Sharma"/>
    <x v="0"/>
    <x v="1"/>
    <n v="5"/>
    <n v="4712"/>
    <n v="23560"/>
  </r>
  <r>
    <s v="ORD0186"/>
    <s v="19-09-2023"/>
    <s v="Deepak Yadav"/>
    <x v="1"/>
    <x v="0"/>
    <n v="5"/>
    <n v="4677"/>
    <n v="23385"/>
  </r>
  <r>
    <s v="ORD0134"/>
    <s v="10-05-2023"/>
    <s v="Kavita Rao"/>
    <x v="1"/>
    <x v="4"/>
    <n v="9"/>
    <n v="2593"/>
    <n v="23337"/>
  </r>
  <r>
    <s v="ORD0199"/>
    <s v="10-01-2024"/>
    <s v="Priya Singh"/>
    <x v="2"/>
    <x v="4"/>
    <n v="5"/>
    <n v="4595"/>
    <n v="22975"/>
  </r>
  <r>
    <s v="ORD0075"/>
    <s v="09-02-2023"/>
    <s v="Priya Singh"/>
    <x v="2"/>
    <x v="2"/>
    <n v="6"/>
    <n v="3774"/>
    <n v="22644"/>
  </r>
  <r>
    <s v="ORD0039"/>
    <s v="14-07-2023"/>
    <s v="Priya Singh"/>
    <x v="1"/>
    <x v="0"/>
    <n v="6"/>
    <n v="3669"/>
    <n v="22014"/>
  </r>
  <r>
    <s v="ORD0196"/>
    <s v="06-07-2024"/>
    <s v="Simran Kaur"/>
    <x v="4"/>
    <x v="5"/>
    <n v="9"/>
    <n v="2432"/>
    <n v="21888"/>
  </r>
  <r>
    <s v="ORD0164"/>
    <s v="17-04-2024"/>
    <s v="NA"/>
    <x v="0"/>
    <x v="0"/>
    <n v="5"/>
    <n v="4368"/>
    <n v="21840"/>
  </r>
  <r>
    <s v="ORD0023"/>
    <s v="25-06-2024"/>
    <s v="Kavita Rao"/>
    <x v="1"/>
    <x v="4"/>
    <n v="9"/>
    <n v="2385"/>
    <n v="21465"/>
  </r>
  <r>
    <s v="ORD0102"/>
    <s v="22-03-2024"/>
    <s v="Sunil Kumar"/>
    <x v="1"/>
    <x v="0"/>
    <n v="6"/>
    <n v="3512"/>
    <n v="21072"/>
  </r>
  <r>
    <s v="ORD0167"/>
    <s v="20-05-2023"/>
    <s v="Rajesh Khanna"/>
    <x v="1"/>
    <x v="2"/>
    <n v="0"/>
    <n v="2984"/>
    <n v="0"/>
  </r>
  <r>
    <s v="ORD0191"/>
    <s v="09-10-2023"/>
    <s v="Amit Sharma"/>
    <x v="1"/>
    <x v="5"/>
    <n v="8"/>
    <n v="2544"/>
    <n v="20352"/>
  </r>
  <r>
    <s v="ORD0090"/>
    <s v="30-06-2023"/>
    <s v="Nisha Bhatia"/>
    <x v="2"/>
    <x v="4"/>
    <n v="9"/>
    <n v="2241"/>
    <n v="20169"/>
  </r>
  <r>
    <s v="ORD0185"/>
    <s v="20-08-2024"/>
    <s v="Rohan Mehta"/>
    <x v="0"/>
    <x v="0"/>
    <n v="5"/>
    <n v="3964"/>
    <n v="19820"/>
  </r>
  <r>
    <s v="ORD0053"/>
    <s v="02-09-2023"/>
    <s v="Kavita Rao"/>
    <x v="2"/>
    <x v="1"/>
    <n v="5"/>
    <n v="3945"/>
    <n v="19725"/>
  </r>
  <r>
    <s v="ORD0046"/>
    <s v="18-06-2023"/>
    <s v="Meena Joshi"/>
    <x v="1"/>
    <x v="0"/>
    <n v="5"/>
    <n v="3927"/>
    <n v="19635"/>
  </r>
  <r>
    <s v="ORD0145"/>
    <s v="26-10-2023"/>
    <s v="Amit Sharma"/>
    <x v="0"/>
    <x v="2"/>
    <n v="5"/>
    <n v="3919"/>
    <n v="19595"/>
  </r>
  <r>
    <s v="ORD0177"/>
    <s v="27-10-2024"/>
    <s v="Priya Singh"/>
    <x v="4"/>
    <x v="5"/>
    <n v="7"/>
    <n v="2794"/>
    <n v="19558"/>
  </r>
  <r>
    <s v="ORD0129"/>
    <s v="11-03-2024"/>
    <s v="Suresh Reddy"/>
    <x v="4"/>
    <x v="2"/>
    <n v="8"/>
    <n v="2419"/>
    <n v="19352"/>
  </r>
  <r>
    <s v="ORD0193"/>
    <s v="21-05-2023"/>
    <s v="Deepak Yadav"/>
    <x v="1"/>
    <x v="4"/>
    <n v="5"/>
    <n v="3811"/>
    <n v="19055"/>
  </r>
  <r>
    <s v="ORD0093"/>
    <s v="15-07-2024"/>
    <s v="Sunil Kumar"/>
    <x v="0"/>
    <x v="0"/>
    <n v="8"/>
    <n v="2323"/>
    <n v="18584"/>
  </r>
  <r>
    <s v="ORD0026"/>
    <s v="19-04-2023"/>
    <s v="Rajesh Khanna"/>
    <x v="4"/>
    <x v="5"/>
    <n v="10"/>
    <n v="1829"/>
    <n v="18290"/>
  </r>
  <r>
    <s v="ORD0146"/>
    <s v="14-03-2023"/>
    <s v="Deepak Yadav"/>
    <x v="0"/>
    <x v="2"/>
    <n v="10"/>
    <n v="1820"/>
    <n v="18200"/>
  </r>
  <r>
    <s v="ORD0060"/>
    <s v="18-12-2023"/>
    <s v="NA"/>
    <x v="4"/>
    <x v="5"/>
    <n v="8"/>
    <n v="2257"/>
    <n v="18056"/>
  </r>
  <r>
    <s v="ORD0079"/>
    <s v="08-05-2023"/>
    <s v="Suresh Reddy"/>
    <x v="4"/>
    <x v="5"/>
    <n v="5"/>
    <n v="3545"/>
    <n v="17725"/>
  </r>
  <r>
    <s v="ORD0076"/>
    <s v="12-09-2024"/>
    <s v="Aman Gupta"/>
    <x v="1"/>
    <x v="0"/>
    <n v="10"/>
    <n v="1757"/>
    <n v="17570"/>
  </r>
  <r>
    <s v="ORD0149"/>
    <s v="23-10-2023"/>
    <s v="Sunil Kumar"/>
    <x v="1"/>
    <x v="0"/>
    <n v="5"/>
    <n v="3497"/>
    <n v="17485"/>
  </r>
  <r>
    <s v="ORD0003"/>
    <s v="02-02-2023"/>
    <s v="Amit Sharma"/>
    <x v="1"/>
    <x v="1"/>
    <n v="4"/>
    <n v="4339"/>
    <n v="17356"/>
  </r>
  <r>
    <s v="ORD0011"/>
    <s v="23-03-2023"/>
    <s v="Rajesh Khanna"/>
    <x v="0"/>
    <x v="4"/>
    <n v="7"/>
    <n v="2477"/>
    <n v="17339"/>
  </r>
  <r>
    <s v="ORD0094"/>
    <s v="11-09-2023"/>
    <s v="Rajesh Khanna"/>
    <x v="4"/>
    <x v="5"/>
    <n v="8"/>
    <n v="2159"/>
    <n v="17272"/>
  </r>
  <r>
    <s v="ORD0184"/>
    <s v="16-09-2024"/>
    <s v="Rajesh Khanna"/>
    <x v="2"/>
    <x v="5"/>
    <n v="4"/>
    <n v="4276"/>
    <n v="17104"/>
  </r>
  <r>
    <s v="ORD0131"/>
    <s v="03-05-2023"/>
    <s v="Suresh Reddy"/>
    <x v="0"/>
    <x v="1"/>
    <n v="4"/>
    <n v="4166"/>
    <n v="16664"/>
  </r>
  <r>
    <s v="ORD0032"/>
    <s v="24-06-2024"/>
    <s v="Rajesh Khanna"/>
    <x v="2"/>
    <x v="1"/>
    <n v="9"/>
    <n v="1847"/>
    <n v="16623"/>
  </r>
  <r>
    <s v="ORD0111"/>
    <s v="10-05-2023"/>
    <s v="Sunil Kumar"/>
    <x v="1"/>
    <x v="5"/>
    <n v="4"/>
    <n v="4009"/>
    <n v="16036"/>
  </r>
  <r>
    <s v="ORD0013"/>
    <s v="03-08-2023"/>
    <s v="Deepak Yadav"/>
    <x v="4"/>
    <x v="4"/>
    <n v="10"/>
    <n v="1601"/>
    <n v="16010"/>
  </r>
  <r>
    <s v="ORD0107"/>
    <s v="01-12-2023"/>
    <s v="Ankit Patel"/>
    <x v="2"/>
    <x v="2"/>
    <n v="7"/>
    <n v="2266"/>
    <n v="15862"/>
  </r>
  <r>
    <s v="ORD0165"/>
    <s v="07-10-2023"/>
    <s v="Meena Joshi"/>
    <x v="2"/>
    <x v="0"/>
    <n v="4"/>
    <n v="3941"/>
    <n v="15764"/>
  </r>
  <r>
    <s v="ORD0106"/>
    <s v="21-02-2023"/>
    <s v="Kavita Rao"/>
    <x v="2"/>
    <x v="2"/>
    <n v="4"/>
    <n v="3924"/>
    <n v="15696"/>
  </r>
  <r>
    <s v="ORD0181"/>
    <s v="30-01-2023"/>
    <s v="Amit Sharma"/>
    <x v="4"/>
    <x v="4"/>
    <n v="5"/>
    <n v="3136"/>
    <n v="15680"/>
  </r>
  <r>
    <s v="ORD0037"/>
    <s v="05-12-2023"/>
    <s v="Priya Singh"/>
    <x v="0"/>
    <x v="2"/>
    <n v="8"/>
    <n v="1955"/>
    <n v="15640"/>
  </r>
  <r>
    <s v="ORD0088"/>
    <s v="19-07-2023"/>
    <s v="Suresh Reddy"/>
    <x v="2"/>
    <x v="0"/>
    <n v="7"/>
    <n v="2198"/>
    <n v="15386"/>
  </r>
  <r>
    <s v="ORD0056"/>
    <s v="24-12-2023"/>
    <s v="Simran Kaur"/>
    <x v="1"/>
    <x v="1"/>
    <n v="6"/>
    <n v="2534"/>
    <n v="15204"/>
  </r>
  <r>
    <s v="ORD0153"/>
    <s v="29-06-2023"/>
    <s v="Sunil Kumar"/>
    <x v="2"/>
    <x v="2"/>
    <n v="3"/>
    <n v="4995"/>
    <n v="14985"/>
  </r>
  <r>
    <s v="ORD0157"/>
    <s v="07-02-2023"/>
    <s v="Sunil Kumar"/>
    <x v="1"/>
    <x v="3"/>
    <n v="5"/>
    <n v="2848"/>
    <n v="14240"/>
  </r>
  <r>
    <s v="ORD0007"/>
    <s v="05-04-2023"/>
    <s v="Meena Joshi"/>
    <x v="3"/>
    <x v="2"/>
    <n v="6"/>
    <n v="2366"/>
    <n v="14196"/>
  </r>
  <r>
    <s v="ORD0004"/>
    <s v="08-09-2024"/>
    <s v="Amit Sharma"/>
    <x v="0"/>
    <x v="5"/>
    <n v="7"/>
    <n v="2005"/>
    <n v="14035"/>
  </r>
  <r>
    <s v="ORD0089"/>
    <s v="01-06-2023"/>
    <s v="Deepak Yadav"/>
    <x v="1"/>
    <x v="4"/>
    <n v="7"/>
    <n v="1992"/>
    <n v="13944"/>
  </r>
  <r>
    <s v="ORD0123"/>
    <s v="29-11-2023"/>
    <s v="Rohan Mehta"/>
    <x v="2"/>
    <x v="1"/>
    <n v="6"/>
    <n v="2316"/>
    <n v="13896"/>
  </r>
  <r>
    <s v="ORD0105"/>
    <s v="27-03-2023"/>
    <s v="Deepak Yadav"/>
    <x v="2"/>
    <x v="1"/>
    <n v="0"/>
    <n v="1688"/>
    <n v="0"/>
  </r>
  <r>
    <s v="ORD0189"/>
    <s v="29-01-2024"/>
    <s v="Rajesh Khanna"/>
    <x v="2"/>
    <x v="4"/>
    <n v="4"/>
    <n v="3324"/>
    <n v="13296"/>
  </r>
  <r>
    <s v="ORD0025"/>
    <s v="09-04-2024"/>
    <s v="Amit Sharma"/>
    <x v="4"/>
    <x v="5"/>
    <n v="3"/>
    <n v="4358"/>
    <n v="13074"/>
  </r>
  <r>
    <s v="ORD0062"/>
    <s v="08-12-2023"/>
    <s v="Nisha Bhatia"/>
    <x v="0"/>
    <x v="2"/>
    <n v="3"/>
    <n v="3819"/>
    <n v="11457"/>
  </r>
  <r>
    <s v="ORD0112"/>
    <s v="20-09-2023"/>
    <s v="Nisha Bhatia"/>
    <x v="4"/>
    <x v="1"/>
    <n v="10"/>
    <n v="1138"/>
    <n v="11380"/>
  </r>
  <r>
    <s v="ORD0118"/>
    <s v="19-04-2023"/>
    <s v="Meena Joshi"/>
    <x v="4"/>
    <x v="0"/>
    <n v="3"/>
    <n v="3767"/>
    <n v="11301"/>
  </r>
  <r>
    <s v="ORD0130"/>
    <s v="10-11-2023"/>
    <s v="Kavita Rao"/>
    <x v="0"/>
    <x v="4"/>
    <n v="4"/>
    <n v="2784"/>
    <n v="11136"/>
  </r>
  <r>
    <s v="ORD0052"/>
    <s v="20-08-2024"/>
    <s v="Pooja Nair"/>
    <x v="4"/>
    <x v="2"/>
    <n v="4"/>
    <n v="2773"/>
    <n v="11092"/>
  </r>
  <r>
    <s v="ORD0005"/>
    <s v="04-04-2024"/>
    <s v="Pooja Nair"/>
    <x v="4"/>
    <x v="4"/>
    <n v="3"/>
    <n v="3662"/>
    <n v="10986"/>
  </r>
  <r>
    <s v="ORD0085"/>
    <s v="11-06-2024"/>
    <s v="Deepak Yadav"/>
    <x v="4"/>
    <x v="4"/>
    <n v="4"/>
    <n v="2742"/>
    <n v="10968"/>
  </r>
  <r>
    <s v="ORD0047"/>
    <s v="20-10-2023"/>
    <s v="Meena Joshi"/>
    <x v="2"/>
    <x v="1"/>
    <n v="4"/>
    <n v="2630"/>
    <n v="10520"/>
  </r>
  <r>
    <s v="ORD0132"/>
    <s v="11-10-2023"/>
    <s v="Suresh Reddy"/>
    <x v="4"/>
    <x v="4"/>
    <n v="4"/>
    <n v="2626"/>
    <n v="10504"/>
  </r>
  <r>
    <s v="ORD0170"/>
    <s v="20-12-2023"/>
    <s v="Ankit Patel"/>
    <x v="2"/>
    <x v="0"/>
    <n v="6"/>
    <n v="1745"/>
    <n v="10470"/>
  </r>
  <r>
    <s v="ORD0024"/>
    <s v="18-10-2024"/>
    <s v="Ankit Patel"/>
    <x v="1"/>
    <x v="2"/>
    <n v="7"/>
    <n v="1495"/>
    <n v="10465"/>
  </r>
  <r>
    <s v="ORD0136"/>
    <s v="19-10-2023"/>
    <s v="Sunil Kumar"/>
    <x v="2"/>
    <x v="0"/>
    <n v="6"/>
    <n v="1710"/>
    <n v="10260"/>
  </r>
  <r>
    <s v="ORD0172"/>
    <s v="22-11-2023"/>
    <s v="Suresh Reddy"/>
    <x v="2"/>
    <x v="0"/>
    <n v="7"/>
    <n v="1446"/>
    <n v="10122"/>
  </r>
  <r>
    <s v="ORD0101"/>
    <s v="13-07-2024"/>
    <s v="Nisha Bhatia"/>
    <x v="0"/>
    <x v="0"/>
    <n v="4"/>
    <n v="2435"/>
    <n v="9740"/>
  </r>
  <r>
    <s v="ORD0095"/>
    <s v="09-10-2023"/>
    <s v="Sunil Kumar"/>
    <x v="1"/>
    <x v="2"/>
    <n v="4"/>
    <n v="2425"/>
    <n v="9700"/>
  </r>
  <r>
    <s v="ORD0059"/>
    <s v="20-04-2023"/>
    <s v="Suresh Reddy"/>
    <x v="0"/>
    <x v="2"/>
    <n v="5"/>
    <n v="1925"/>
    <n v="9625"/>
  </r>
  <r>
    <s v="ORD0082"/>
    <s v="05-11-2023"/>
    <s v="Meena Joshi"/>
    <x v="1"/>
    <x v="2"/>
    <n v="5"/>
    <n v="1921"/>
    <n v="9605"/>
  </r>
  <r>
    <s v="ORD0142"/>
    <s v="16-09-2024"/>
    <s v="Suresh Reddy"/>
    <x v="1"/>
    <x v="1"/>
    <n v="4"/>
    <n v="2367"/>
    <n v="9468"/>
  </r>
  <r>
    <s v="ORD0188"/>
    <s v="16-10-2024"/>
    <s v="Meena Joshi"/>
    <x v="4"/>
    <x v="0"/>
    <n v="5"/>
    <n v="1831"/>
    <n v="9155"/>
  </r>
  <r>
    <s v="ORD0043"/>
    <s v="18-04-2024"/>
    <s v="Neha Verma"/>
    <x v="1"/>
    <x v="0"/>
    <n v="9"/>
    <n v="1002"/>
    <n v="9018"/>
  </r>
  <r>
    <s v="ORD0192"/>
    <s v="24-08-2023"/>
    <s v="Pooja Nair"/>
    <x v="4"/>
    <x v="1"/>
    <n v="4"/>
    <n v="2253"/>
    <n v="9012"/>
  </r>
  <r>
    <s v="ORD0066"/>
    <s v="12-11-2023"/>
    <s v="Ankit Patel"/>
    <x v="1"/>
    <x v="2"/>
    <n v="4"/>
    <n v="2244"/>
    <n v="8976"/>
  </r>
  <r>
    <s v="ORD0155"/>
    <s v="23-02-2024"/>
    <s v="Ankit Patel"/>
    <x v="4"/>
    <x v="4"/>
    <n v="3"/>
    <n v="2901"/>
    <n v="8703"/>
  </r>
  <r>
    <s v="ORD0029"/>
    <s v="11-11-2023"/>
    <s v="Neha Verma"/>
    <x v="1"/>
    <x v="1"/>
    <n v="10"/>
    <n v="845"/>
    <n v="8450"/>
  </r>
  <r>
    <s v="ORD0050"/>
    <s v="10-07-2023"/>
    <s v="Priya Singh"/>
    <x v="1"/>
    <x v="1"/>
    <n v="7"/>
    <n v="1182"/>
    <n v="8274"/>
  </r>
  <r>
    <s v="ORD0001"/>
    <s v="16-10-2024"/>
    <s v="Priya Singh"/>
    <x v="1"/>
    <x v="2"/>
    <n v="4"/>
    <n v="2028"/>
    <n v="8112"/>
  </r>
  <r>
    <s v="ORD0180"/>
    <s v="11-04-2023"/>
    <s v="Nisha Bhatia"/>
    <x v="1"/>
    <x v="0"/>
    <n v="0"/>
    <n v="2653"/>
    <n v="0"/>
  </r>
  <r>
    <s v="ORD0049"/>
    <s v="21-08-2024"/>
    <s v="Sunil Kumar"/>
    <x v="0"/>
    <x v="4"/>
    <n v="9"/>
    <n v="856"/>
    <n v="7704"/>
  </r>
  <r>
    <s v="ORD0069"/>
    <s v="07-12-2023"/>
    <s v="Nisha Bhatia"/>
    <x v="2"/>
    <x v="1"/>
    <n v="5"/>
    <n v="1504"/>
    <n v="7520"/>
  </r>
  <r>
    <s v="ORD0179"/>
    <s v="29-08-2023"/>
    <s v="Deepak Yadav"/>
    <x v="4"/>
    <x v="1"/>
    <n v="2"/>
    <n v="3755"/>
    <n v="7510"/>
  </r>
  <r>
    <s v="ORD0042"/>
    <s v="03-07-2024"/>
    <s v="Sunil Kumar"/>
    <x v="0"/>
    <x v="0"/>
    <n v="3"/>
    <n v="2481"/>
    <n v="7443"/>
  </r>
  <r>
    <s v="ORD0070"/>
    <s v="21-04-2023"/>
    <s v="Meena Joshi"/>
    <x v="1"/>
    <x v="0"/>
    <n v="4"/>
    <n v="1834"/>
    <n v="7336"/>
  </r>
  <r>
    <s v="ORD0143"/>
    <s v="25-03-2023"/>
    <s v="Rohan Mehta"/>
    <x v="0"/>
    <x v="1"/>
    <n v="9"/>
    <n v="814"/>
    <n v="7326"/>
  </r>
  <r>
    <s v="ORD0002"/>
    <s v="23-05-2023"/>
    <s v="Suresh Reddy"/>
    <x v="1"/>
    <x v="5"/>
    <n v="2"/>
    <n v="3656"/>
    <n v="7312"/>
  </r>
  <r>
    <s v="ORD0051"/>
    <s v="06-08-2024"/>
    <s v="Neha Verma"/>
    <x v="1"/>
    <x v="5"/>
    <n v="2"/>
    <n v="3634"/>
    <n v="7268"/>
  </r>
  <r>
    <s v="ORD0097"/>
    <s v="28-01-2024"/>
    <s v="Suresh Reddy"/>
    <x v="0"/>
    <x v="1"/>
    <n v="2"/>
    <n v="3598"/>
    <n v="7196"/>
  </r>
  <r>
    <s v="ORD0031"/>
    <s v="12-05-2023"/>
    <s v="Deepak Yadav"/>
    <x v="2"/>
    <x v="5"/>
    <n v="3"/>
    <n v="2371"/>
    <n v="7113"/>
  </r>
  <r>
    <s v="ORD0041"/>
    <s v="14-12-2023"/>
    <s v="Nisha Bhatia"/>
    <x v="1"/>
    <x v="1"/>
    <n v="4"/>
    <n v="1758"/>
    <n v="7032"/>
  </r>
  <r>
    <s v="ORD0137"/>
    <s v="22-02-2023"/>
    <s v="Kavita Rao"/>
    <x v="2"/>
    <x v="4"/>
    <n v="2"/>
    <n v="3482"/>
    <n v="6964"/>
  </r>
  <r>
    <s v="ORD0141"/>
    <s v="29-03-2024"/>
    <s v="Kavita Rao"/>
    <x v="2"/>
    <x v="2"/>
    <n v="10"/>
    <n v="693"/>
    <n v="6930"/>
  </r>
  <r>
    <s v="ORD0197"/>
    <s v="18-06-2023"/>
    <s v="Kavita Rao"/>
    <x v="2"/>
    <x v="2"/>
    <n v="6"/>
    <n v="1143"/>
    <n v="6858"/>
  </r>
  <r>
    <s v="ORD0147"/>
    <s v="11-03-2024"/>
    <s v="Priya Singh"/>
    <x v="0"/>
    <x v="1"/>
    <n v="5"/>
    <n v="1365"/>
    <n v="6825"/>
  </r>
  <r>
    <s v="ORD0018"/>
    <s v="20-10-2024"/>
    <s v="Sunil Kumar"/>
    <x v="0"/>
    <x v="2"/>
    <n v="3"/>
    <n v="2220"/>
    <n v="6660"/>
  </r>
  <r>
    <s v="ORD0008"/>
    <s v="14-02-2023"/>
    <s v="Suresh Reddy"/>
    <x v="2"/>
    <x v="5"/>
    <n v="2"/>
    <n v="3300"/>
    <n v="6600"/>
  </r>
  <r>
    <s v="ORD0110"/>
    <s v="24-07-2023"/>
    <s v="Rajesh Khanna"/>
    <x v="1"/>
    <x v="5"/>
    <n v="3"/>
    <n v="2154"/>
    <n v="6462"/>
  </r>
  <r>
    <s v="ORD0055"/>
    <s v="13-04-2023"/>
    <s v="Priya Singh"/>
    <x v="0"/>
    <x v="5"/>
    <n v="5"/>
    <n v="1285"/>
    <n v="6425"/>
  </r>
  <r>
    <s v="ORD0067"/>
    <s v="16-04-2023"/>
    <s v="Ankit Patel"/>
    <x v="2"/>
    <x v="5"/>
    <n v="3"/>
    <n v="2139"/>
    <n v="6417"/>
  </r>
  <r>
    <s v="ORD0028"/>
    <s v="05-09-2024"/>
    <s v="NA"/>
    <x v="2"/>
    <x v="4"/>
    <n v="2"/>
    <n v="3173"/>
    <n v="6346"/>
  </r>
  <r>
    <s v="ORD0096"/>
    <s v="10-12-2023"/>
    <s v="NA"/>
    <x v="1"/>
    <x v="1"/>
    <n v="3"/>
    <n v="2094"/>
    <n v="6282"/>
  </r>
  <r>
    <s v="ORD0044"/>
    <s v="21-02-2023"/>
    <s v="Deepak Yadav"/>
    <x v="1"/>
    <x v="4"/>
    <n v="4"/>
    <n v="1562"/>
    <n v="6248"/>
  </r>
  <r>
    <s v="ORD0006"/>
    <s v="15-12-2023"/>
    <s v="Kavita Rao"/>
    <x v="0"/>
    <x v="1"/>
    <n v="6"/>
    <n v="1037"/>
    <n v="6222"/>
  </r>
  <r>
    <s v="ORD0115"/>
    <s v="29-08-2024"/>
    <s v="Suresh Reddy"/>
    <x v="0"/>
    <x v="4"/>
    <n v="5"/>
    <n v="1191"/>
    <n v="5955"/>
  </r>
  <r>
    <s v="ORD0058"/>
    <s v="21-07-2024"/>
    <s v="Kavita Rao"/>
    <x v="1"/>
    <x v="1"/>
    <n v="5"/>
    <n v="1145"/>
    <n v="5725"/>
  </r>
  <r>
    <s v="ORD0080"/>
    <s v="01-12-2023"/>
    <s v="Meena Joshi"/>
    <x v="4"/>
    <x v="5"/>
    <n v="3"/>
    <n v="1771"/>
    <n v="5313"/>
  </r>
  <r>
    <s v="ORD0152"/>
    <s v="04-04-2023"/>
    <s v="Neha Verma"/>
    <x v="1"/>
    <x v="2"/>
    <n v="10"/>
    <n v="529"/>
    <n v="5290"/>
  </r>
  <r>
    <s v="ORD0194"/>
    <s v="04-02-2023"/>
    <s v="Pooja Nair"/>
    <x v="4"/>
    <x v="1"/>
    <n v="2"/>
    <n v="2617"/>
    <n v="5234"/>
  </r>
  <r>
    <s v="ORD0195"/>
    <s v="01-12-2023"/>
    <s v="Suresh Reddy"/>
    <x v="2"/>
    <x v="1"/>
    <n v="4"/>
    <n v="1282"/>
    <n v="5128"/>
  </r>
  <r>
    <s v="ORD0084"/>
    <s v="07-08-2023"/>
    <s v="Aman Gupta"/>
    <x v="3"/>
    <x v="1"/>
    <n v="2"/>
    <n v="2524"/>
    <n v="5048"/>
  </r>
  <r>
    <s v="ORD0072"/>
    <s v="17-07-2023"/>
    <s v="Meena Joshi"/>
    <x v="4"/>
    <x v="2"/>
    <n v="2"/>
    <n v="2486"/>
    <n v="4972"/>
  </r>
  <r>
    <s v="ORD0135"/>
    <s v="10-05-2023"/>
    <s v="Deepak Yadav"/>
    <x v="2"/>
    <x v="4"/>
    <n v="1"/>
    <n v="4902"/>
    <n v="4902"/>
  </r>
  <r>
    <s v="ORD0045"/>
    <s v="21-02-2024"/>
    <s v="Sunil Kumar"/>
    <x v="2"/>
    <x v="1"/>
    <n v="7"/>
    <n v="680"/>
    <n v="4760"/>
  </r>
  <r>
    <s v="ORD0158"/>
    <s v="29-04-2023"/>
    <s v="Nisha Bhatia"/>
    <x v="2"/>
    <x v="5"/>
    <n v="1"/>
    <n v="4644"/>
    <n v="4644"/>
  </r>
  <r>
    <s v="ORD0133"/>
    <s v="21-08-2023"/>
    <s v="Ankit Patel"/>
    <x v="0"/>
    <x v="2"/>
    <n v="1"/>
    <n v="4575"/>
    <n v="4575"/>
  </r>
  <r>
    <s v="ORD0021"/>
    <s v="04-04-2023"/>
    <m/>
    <x v="1"/>
    <x v="4"/>
    <n v="3"/>
    <n v="1510"/>
    <n v="4530"/>
  </r>
  <r>
    <s v="ORD0163"/>
    <s v="15-01-2023"/>
    <s v="Aman Gupta"/>
    <x v="2"/>
    <x v="3"/>
    <n v="4"/>
    <n v="1129"/>
    <n v="4516"/>
  </r>
  <r>
    <s v="ORD0124"/>
    <s v="15-12-2023"/>
    <s v="Kavita Rao"/>
    <x v="4"/>
    <x v="5"/>
    <n v="1"/>
    <n v="4432"/>
    <n v="4432"/>
  </r>
  <r>
    <s v="ORD0122"/>
    <s v="16-09-2024"/>
    <s v="Deepak Yadav"/>
    <x v="2"/>
    <x v="2"/>
    <n v="1"/>
    <n v="4249"/>
    <n v="4249"/>
  </r>
  <r>
    <s v="ORD0104"/>
    <s v="28-01-2023"/>
    <s v="Simran Kaur"/>
    <x v="2"/>
    <x v="5"/>
    <n v="10"/>
    <n v="422"/>
    <n v="4220"/>
  </r>
  <r>
    <s v="ORD0171"/>
    <s v="02-09-2023"/>
    <s v="Pooja Nair"/>
    <x v="2"/>
    <x v="1"/>
    <n v="7"/>
    <n v="557"/>
    <n v="3899"/>
  </r>
  <r>
    <s v="ORD0016"/>
    <s v="02-02-2023"/>
    <s v="Nisha Bhatia"/>
    <x v="4"/>
    <x v="0"/>
    <n v="5"/>
    <n v="742"/>
    <n v="3710"/>
  </r>
  <r>
    <s v="ORD0120"/>
    <s v="21-04-2024"/>
    <s v="Meena Joshi"/>
    <x v="4"/>
    <x v="2"/>
    <n v="4"/>
    <n v="909"/>
    <n v="3636"/>
  </r>
  <r>
    <s v="ORD0040"/>
    <s v="25-02-2024"/>
    <s v="Sunil Kumar"/>
    <x v="1"/>
    <x v="4"/>
    <n v="1"/>
    <n v="3498"/>
    <n v="3498"/>
  </r>
  <r>
    <s v="ORD0190"/>
    <s v="08-08-2024"/>
    <s v="Ankit Patel"/>
    <x v="4"/>
    <x v="2"/>
    <n v="1"/>
    <n v="3442"/>
    <n v="3442"/>
  </r>
  <r>
    <s v="ORD0114"/>
    <s v="12-08-2024"/>
    <s v="Deepak Yadav"/>
    <x v="2"/>
    <x v="0"/>
    <n v="4"/>
    <n v="822"/>
    <n v="3288"/>
  </r>
  <r>
    <s v="ORD0064"/>
    <s v="19-03-2023"/>
    <s v="Simran Kaur"/>
    <x v="0"/>
    <x v="5"/>
    <n v="1"/>
    <n v="3224"/>
    <n v="3224"/>
  </r>
  <r>
    <s v="ORD0108"/>
    <s v="25-03-2023"/>
    <s v="Sunil Kumar"/>
    <x v="1"/>
    <x v="5"/>
    <n v="1"/>
    <n v="3066"/>
    <n v="3066"/>
  </r>
  <r>
    <s v="ORD0113"/>
    <s v="17-06-2023"/>
    <s v="Kavita Rao"/>
    <x v="1"/>
    <x v="5"/>
    <n v="1"/>
    <n v="2755"/>
    <n v="2755"/>
  </r>
  <r>
    <s v="ORD0126"/>
    <s v="04-09-2023"/>
    <s v="Suresh Reddy"/>
    <x v="2"/>
    <x v="0"/>
    <n v="8"/>
    <n v="341"/>
    <n v="2728"/>
  </r>
  <r>
    <s v="ORD0073"/>
    <s v="26-12-2023"/>
    <s v="Deepak Yadav"/>
    <x v="2"/>
    <x v="5"/>
    <n v="6"/>
    <n v="426"/>
    <n v="2556"/>
  </r>
  <r>
    <s v="ORD0183"/>
    <s v="02-08-2024"/>
    <s v="Deepak Yadav"/>
    <x v="0"/>
    <x v="1"/>
    <n v="3"/>
    <n v="846"/>
    <n v="2538"/>
  </r>
  <r>
    <s v="ORD0175"/>
    <s v="16-01-2023"/>
    <s v="Suresh Reddy"/>
    <x v="0"/>
    <x v="0"/>
    <n v="3"/>
    <n v="812"/>
    <n v="2436"/>
  </r>
  <r>
    <s v="ORD0057"/>
    <s v="11-06-2023"/>
    <s v="Sunil Kumar"/>
    <x v="4"/>
    <x v="3"/>
    <n v="9"/>
    <n v="264"/>
    <n v="2376"/>
  </r>
  <r>
    <s v="ORD0034"/>
    <s v="04-05-2023"/>
    <s v="Neha Verma"/>
    <x v="0"/>
    <x v="4"/>
    <n v="6"/>
    <n v="372"/>
    <n v="2232"/>
  </r>
  <r>
    <s v="ORD0109"/>
    <s v="18-08-2023"/>
    <s v="Deepak Yadav"/>
    <x v="1"/>
    <x v="4"/>
    <n v="1"/>
    <n v="2225"/>
    <n v="2225"/>
  </r>
  <r>
    <s v="ORD0015"/>
    <s v="04-10-2023"/>
    <s v="Simran Kaur"/>
    <x v="0"/>
    <x v="2"/>
    <n v="1"/>
    <n v="2076"/>
    <n v="2076"/>
  </r>
  <r>
    <s v="ORD0151"/>
    <s v="18-03-2024"/>
    <s v="Suresh Reddy"/>
    <x v="4"/>
    <x v="5"/>
    <n v="5"/>
    <n v="411"/>
    <n v="2055"/>
  </r>
  <r>
    <s v="ORD0098"/>
    <s v="22-02-2024"/>
    <s v="Ankit Patel"/>
    <x v="2"/>
    <x v="0"/>
    <n v="1"/>
    <n v="1894"/>
    <n v="1894"/>
  </r>
  <r>
    <s v="ORD0160"/>
    <s v="29-09-2024"/>
    <s v="Nisha Bhatia"/>
    <x v="2"/>
    <x v="0"/>
    <n v="1"/>
    <n v="1867"/>
    <n v="1867"/>
  </r>
  <r>
    <s v="ORD0027"/>
    <s v="06-06-2023"/>
    <s v="Ankit Patel"/>
    <x v="0"/>
    <x v="5"/>
    <n v="9"/>
    <n v="204"/>
    <n v="1836"/>
  </r>
  <r>
    <s v="ORD0068"/>
    <s v="16-06-2023"/>
    <s v="Nisha Bhatia"/>
    <x v="0"/>
    <x v="0"/>
    <n v="1"/>
    <n v="1669"/>
    <n v="1669"/>
  </r>
  <r>
    <s v="ORD0065"/>
    <s v="19-08-2024"/>
    <s v="Aman Gupta"/>
    <x v="0"/>
    <x v="0"/>
    <n v="3"/>
    <n v="542"/>
    <n v="1626"/>
  </r>
  <r>
    <s v="ORD0071"/>
    <s v="16-04-2024"/>
    <s v="Ankit Patel"/>
    <x v="4"/>
    <x v="1"/>
    <n v="4"/>
    <n v="393"/>
    <n v="1572"/>
  </r>
  <r>
    <s v="ORD0063"/>
    <s v="18-07-2024"/>
    <s v="Suresh Reddy"/>
    <x v="2"/>
    <x v="5"/>
    <n v="1"/>
    <n v="1116"/>
    <n v="1116"/>
  </r>
  <r>
    <s v="ORD0150"/>
    <s v="06-10-2023"/>
    <s v="Aman Gupta"/>
    <x v="2"/>
    <x v="0"/>
    <n v="2"/>
    <n v="526"/>
    <n v="1052"/>
  </r>
  <r>
    <s v="ORD0035"/>
    <s v="25-08-2024"/>
    <s v="Aman Gupta"/>
    <x v="0"/>
    <x v="5"/>
    <n v="4"/>
    <n v="258"/>
    <n v="1032"/>
  </r>
  <r>
    <s v="ORD0178"/>
    <s v="03-10-2024"/>
    <s v="Suresh Reddy"/>
    <x v="2"/>
    <x v="5"/>
    <n v="1"/>
    <n v="760"/>
    <n v="760"/>
  </r>
  <r>
    <s v="ORD0048"/>
    <s v="11-08-2023"/>
    <s v="Amit Sharma"/>
    <x v="1"/>
    <x v="2"/>
    <n v="1"/>
    <n v="610"/>
    <n v="610"/>
  </r>
  <r>
    <s v="ORD0086"/>
    <s v="19-08-2023"/>
    <s v="Nisha Bhatia"/>
    <x v="0"/>
    <x v="1"/>
    <n v="1"/>
    <n v="578"/>
    <n v="578"/>
  </r>
  <r>
    <s v="ORD0010"/>
    <s v="16-07-2023"/>
    <s v="Suresh Reddy"/>
    <x v="1"/>
    <x v="4"/>
    <n v="4"/>
    <n v="0"/>
    <n v="0"/>
  </r>
  <r>
    <s v="ORD0012"/>
    <s v="09-04-2024"/>
    <s v="Deepak Yadav"/>
    <x v="4"/>
    <x v="1"/>
    <n v="6"/>
    <n v="0"/>
    <n v="0"/>
  </r>
  <r>
    <s v="ORD0030"/>
    <s v="29-03-2023"/>
    <s v="Suresh Reddy"/>
    <x v="2"/>
    <x v="4"/>
    <n v="9"/>
    <n v="0"/>
    <n v="0"/>
  </r>
  <r>
    <s v="ORD0036"/>
    <s v="14-03-2023"/>
    <s v="Suresh Reddy"/>
    <x v="1"/>
    <x v="1"/>
    <n v="2"/>
    <n v="0"/>
    <n v="0"/>
  </r>
  <r>
    <s v="ORD0078"/>
    <s v="21-07-2023"/>
    <s v="Ankit Patel"/>
    <x v="2"/>
    <x v="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15548-DD1A-46EC-BED4-25DB4CCB46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9" firstHeaderRow="1" firstDataRow="1" firstDataCol="1"/>
  <pivotFields count="8">
    <pivotField showAll="0"/>
    <pivotField showAll="0"/>
    <pivotField showAll="0"/>
    <pivotField showAll="0"/>
    <pivotField axis="axisRow" showAll="0">
      <items count="8">
        <item x="2"/>
        <item x="4"/>
        <item x="1"/>
        <item x="5"/>
        <item m="1" x="6"/>
        <item x="0"/>
        <item x="3"/>
        <item t="default"/>
      </items>
    </pivotField>
    <pivotField showAll="0"/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CC3AF-295C-4751-A527-CA9E139287A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:G18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5"/>
        <item x="1"/>
        <item x="4"/>
        <item m="1" x="6"/>
        <item x="0"/>
        <item x="3"/>
        <item t="default"/>
      </items>
    </pivotField>
    <pivotField dataField="1" showAll="0"/>
    <pivotField dataField="1" numFmtId="9" showAll="0"/>
  </pivotFields>
  <rowFields count="1">
    <field x="8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fference" fld="9" baseField="0" baseItem="0"/>
    <dataField name="Average of Achievement" fld="10" subtotal="average" baseField="8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91A01-5837-4D5B-9CEB-8CEF44284F6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B18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_Sales" fld="7" subtotal="count" baseField="3" baseItem="0" numFmtId="2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CEDC0-6E07-46FB-8765-BB6F0EC8E1C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8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formats count="2">
    <format dxfId="9">
      <pivotArea collapsedLevelsAreSubtotals="1" fieldPosition="0">
        <references count="1">
          <reference field="3" count="0"/>
        </references>
      </pivotArea>
    </format>
    <format dxfId="8">
      <pivotArea outline="0" collapsedLevelsAreSubtotals="1" fieldPosition="0"/>
    </format>
  </formats>
  <chartFormats count="6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opLeftCell="A2" workbookViewId="0">
      <selection activeCell="K12" sqref="K12"/>
    </sheetView>
  </sheetViews>
  <sheetFormatPr defaultRowHeight="14.4" x14ac:dyDescent="0.3"/>
  <cols>
    <col min="1" max="1" width="8.6640625" bestFit="1" customWidth="1"/>
    <col min="2" max="2" width="10.6640625" bestFit="1" customWidth="1"/>
    <col min="3" max="3" width="15.21875" bestFit="1" customWidth="1"/>
    <col min="4" max="4" width="6.77734375" bestFit="1" customWidth="1"/>
    <col min="5" max="5" width="16.33203125" bestFit="1" customWidth="1"/>
    <col min="6" max="6" width="8.33203125" bestFit="1" customWidth="1"/>
    <col min="7" max="7" width="9.6640625" bestFit="1" customWidth="1"/>
    <col min="8" max="8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410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208</v>
      </c>
      <c r="C2" t="s">
        <v>375</v>
      </c>
      <c r="D2" t="s">
        <v>390</v>
      </c>
      <c r="E2" t="s">
        <v>394</v>
      </c>
      <c r="F2">
        <v>4</v>
      </c>
      <c r="G2">
        <v>2028</v>
      </c>
      <c r="H2">
        <v>8112</v>
      </c>
    </row>
    <row r="3" spans="1:8" x14ac:dyDescent="0.3">
      <c r="A3" t="s">
        <v>9</v>
      </c>
      <c r="B3" t="s">
        <v>209</v>
      </c>
      <c r="C3" t="s">
        <v>376</v>
      </c>
      <c r="D3" t="s">
        <v>390</v>
      </c>
      <c r="E3" t="s">
        <v>395</v>
      </c>
      <c r="F3">
        <v>2</v>
      </c>
      <c r="G3">
        <v>3656</v>
      </c>
      <c r="H3">
        <v>7312</v>
      </c>
    </row>
    <row r="4" spans="1:8" x14ac:dyDescent="0.3">
      <c r="A4" t="s">
        <v>10</v>
      </c>
      <c r="B4" t="s">
        <v>210</v>
      </c>
      <c r="C4" t="s">
        <v>377</v>
      </c>
      <c r="D4" t="s">
        <v>390</v>
      </c>
      <c r="E4" t="s">
        <v>396</v>
      </c>
      <c r="F4">
        <v>4</v>
      </c>
      <c r="G4">
        <v>4339</v>
      </c>
      <c r="H4">
        <v>17356</v>
      </c>
    </row>
    <row r="5" spans="1:8" x14ac:dyDescent="0.3">
      <c r="A5" t="s">
        <v>11</v>
      </c>
      <c r="B5" t="s">
        <v>211</v>
      </c>
      <c r="C5" t="s">
        <v>377</v>
      </c>
      <c r="D5" t="s">
        <v>391</v>
      </c>
      <c r="E5" t="s">
        <v>395</v>
      </c>
      <c r="F5">
        <v>7</v>
      </c>
      <c r="G5">
        <v>2005</v>
      </c>
      <c r="H5">
        <v>14035</v>
      </c>
    </row>
    <row r="6" spans="1:8" x14ac:dyDescent="0.3">
      <c r="A6" t="s">
        <v>12</v>
      </c>
      <c r="B6" t="s">
        <v>212</v>
      </c>
      <c r="C6" t="s">
        <v>408</v>
      </c>
      <c r="D6" t="s">
        <v>392</v>
      </c>
      <c r="E6" t="s">
        <v>397</v>
      </c>
      <c r="F6">
        <v>3</v>
      </c>
      <c r="G6">
        <v>3662</v>
      </c>
      <c r="H6">
        <v>10986</v>
      </c>
    </row>
    <row r="7" spans="1:8" x14ac:dyDescent="0.3">
      <c r="A7" t="s">
        <v>13</v>
      </c>
      <c r="B7" t="s">
        <v>213</v>
      </c>
      <c r="C7" t="s">
        <v>379</v>
      </c>
      <c r="D7" t="s">
        <v>391</v>
      </c>
      <c r="E7" t="s">
        <v>396</v>
      </c>
      <c r="F7">
        <v>6</v>
      </c>
      <c r="G7">
        <v>1037</v>
      </c>
      <c r="H7">
        <v>6222</v>
      </c>
    </row>
    <row r="8" spans="1:8" x14ac:dyDescent="0.3">
      <c r="A8" t="s">
        <v>14</v>
      </c>
      <c r="B8" t="s">
        <v>214</v>
      </c>
      <c r="C8" t="s">
        <v>411</v>
      </c>
      <c r="E8" t="s">
        <v>394</v>
      </c>
      <c r="F8">
        <v>6</v>
      </c>
      <c r="G8">
        <v>2366</v>
      </c>
      <c r="H8">
        <v>14196</v>
      </c>
    </row>
    <row r="9" spans="1:8" x14ac:dyDescent="0.3">
      <c r="A9" t="s">
        <v>15</v>
      </c>
      <c r="B9" t="s">
        <v>215</v>
      </c>
      <c r="C9" t="s">
        <v>376</v>
      </c>
      <c r="D9" t="s">
        <v>393</v>
      </c>
      <c r="E9" t="s">
        <v>395</v>
      </c>
      <c r="F9">
        <v>2</v>
      </c>
      <c r="G9">
        <v>3300</v>
      </c>
      <c r="H9">
        <v>6600</v>
      </c>
    </row>
    <row r="10" spans="1:8" x14ac:dyDescent="0.3">
      <c r="A10" t="s">
        <v>16</v>
      </c>
      <c r="B10" t="s">
        <v>216</v>
      </c>
      <c r="C10" t="s">
        <v>381</v>
      </c>
      <c r="D10" t="s">
        <v>392</v>
      </c>
      <c r="E10" t="s">
        <v>395</v>
      </c>
      <c r="F10">
        <v>6</v>
      </c>
      <c r="G10">
        <v>4929</v>
      </c>
      <c r="H10">
        <v>29574</v>
      </c>
    </row>
    <row r="11" spans="1:8" x14ac:dyDescent="0.3">
      <c r="A11" t="s">
        <v>17</v>
      </c>
      <c r="B11" t="s">
        <v>217</v>
      </c>
      <c r="C11" t="s">
        <v>376</v>
      </c>
      <c r="D11" t="s">
        <v>390</v>
      </c>
      <c r="E11" t="s">
        <v>397</v>
      </c>
      <c r="F11">
        <v>4</v>
      </c>
      <c r="H11">
        <v>10280</v>
      </c>
    </row>
    <row r="12" spans="1:8" x14ac:dyDescent="0.3">
      <c r="A12" t="s">
        <v>18</v>
      </c>
      <c r="B12" t="s">
        <v>218</v>
      </c>
      <c r="C12" t="s">
        <v>409</v>
      </c>
      <c r="D12" t="s">
        <v>391</v>
      </c>
      <c r="E12" t="s">
        <v>397</v>
      </c>
      <c r="F12">
        <v>7</v>
      </c>
      <c r="G12">
        <v>2477</v>
      </c>
      <c r="H12">
        <v>17339</v>
      </c>
    </row>
    <row r="13" spans="1:8" x14ac:dyDescent="0.3">
      <c r="A13" t="s">
        <v>19</v>
      </c>
      <c r="B13" t="s">
        <v>219</v>
      </c>
      <c r="C13" t="s">
        <v>383</v>
      </c>
      <c r="D13" t="s">
        <v>392</v>
      </c>
      <c r="E13" t="s">
        <v>396</v>
      </c>
      <c r="F13">
        <v>6</v>
      </c>
      <c r="H13">
        <v>18660</v>
      </c>
    </row>
    <row r="14" spans="1:8" x14ac:dyDescent="0.3">
      <c r="A14" t="s">
        <v>20</v>
      </c>
      <c r="B14" t="s">
        <v>220</v>
      </c>
      <c r="C14" t="s">
        <v>383</v>
      </c>
      <c r="D14" t="s">
        <v>392</v>
      </c>
      <c r="E14" t="s">
        <v>397</v>
      </c>
      <c r="F14">
        <v>10</v>
      </c>
      <c r="G14">
        <v>1601</v>
      </c>
      <c r="H14">
        <v>16010</v>
      </c>
    </row>
    <row r="15" spans="1:8" x14ac:dyDescent="0.3">
      <c r="A15" t="s">
        <v>21</v>
      </c>
      <c r="B15" t="s">
        <v>221</v>
      </c>
      <c r="C15" t="s">
        <v>376</v>
      </c>
      <c r="D15" t="s">
        <v>391</v>
      </c>
      <c r="E15" t="s">
        <v>396</v>
      </c>
      <c r="F15">
        <v>8</v>
      </c>
      <c r="G15">
        <v>3308</v>
      </c>
      <c r="H15">
        <v>26464</v>
      </c>
    </row>
    <row r="16" spans="1:8" x14ac:dyDescent="0.3">
      <c r="A16" t="s">
        <v>22</v>
      </c>
      <c r="B16" t="s">
        <v>222</v>
      </c>
      <c r="C16" t="s">
        <v>384</v>
      </c>
      <c r="D16" t="s">
        <v>391</v>
      </c>
      <c r="E16" t="s">
        <v>394</v>
      </c>
      <c r="F16">
        <v>1</v>
      </c>
      <c r="G16">
        <v>2076</v>
      </c>
      <c r="H16">
        <v>2076</v>
      </c>
    </row>
    <row r="17" spans="1:8" x14ac:dyDescent="0.3">
      <c r="A17" t="s">
        <v>23</v>
      </c>
      <c r="B17" t="s">
        <v>210</v>
      </c>
      <c r="C17" t="s">
        <v>385</v>
      </c>
      <c r="D17" t="s">
        <v>392</v>
      </c>
      <c r="E17" t="s">
        <v>398</v>
      </c>
      <c r="F17">
        <v>5</v>
      </c>
      <c r="G17">
        <v>742</v>
      </c>
      <c r="H17">
        <v>3710</v>
      </c>
    </row>
    <row r="18" spans="1:8" x14ac:dyDescent="0.3">
      <c r="A18" t="s">
        <v>24</v>
      </c>
      <c r="B18" t="s">
        <v>223</v>
      </c>
      <c r="C18" t="s">
        <v>384</v>
      </c>
      <c r="D18" t="s">
        <v>392</v>
      </c>
      <c r="F18">
        <v>8</v>
      </c>
      <c r="G18">
        <v>3441</v>
      </c>
      <c r="H18">
        <v>27528</v>
      </c>
    </row>
    <row r="19" spans="1:8" x14ac:dyDescent="0.3">
      <c r="A19" t="s">
        <v>25</v>
      </c>
      <c r="B19" t="s">
        <v>224</v>
      </c>
      <c r="C19" t="s">
        <v>386</v>
      </c>
      <c r="D19" t="s">
        <v>391</v>
      </c>
      <c r="E19" t="s">
        <v>394</v>
      </c>
      <c r="F19">
        <v>3</v>
      </c>
      <c r="G19">
        <v>2220</v>
      </c>
      <c r="H19">
        <v>6660</v>
      </c>
    </row>
    <row r="20" spans="1:8" x14ac:dyDescent="0.3">
      <c r="A20" t="s">
        <v>26</v>
      </c>
      <c r="B20" t="s">
        <v>225</v>
      </c>
      <c r="C20" t="s">
        <v>381</v>
      </c>
      <c r="D20" t="s">
        <v>392</v>
      </c>
      <c r="E20" t="s">
        <v>395</v>
      </c>
      <c r="F20">
        <v>7</v>
      </c>
      <c r="G20">
        <v>4980</v>
      </c>
      <c r="H20">
        <v>34860</v>
      </c>
    </row>
    <row r="21" spans="1:8" x14ac:dyDescent="0.3">
      <c r="A21" t="s">
        <v>27</v>
      </c>
      <c r="B21" t="s">
        <v>226</v>
      </c>
      <c r="C21" t="s">
        <v>387</v>
      </c>
      <c r="D21" t="s">
        <v>391</v>
      </c>
      <c r="E21" t="s">
        <v>396</v>
      </c>
      <c r="F21">
        <v>9</v>
      </c>
      <c r="G21">
        <v>4242</v>
      </c>
      <c r="H21">
        <v>38178</v>
      </c>
    </row>
    <row r="22" spans="1:8" x14ac:dyDescent="0.3">
      <c r="A22" t="s">
        <v>28</v>
      </c>
      <c r="B22" t="s">
        <v>227</v>
      </c>
      <c r="C22" t="s">
        <v>385</v>
      </c>
      <c r="D22" t="s">
        <v>390</v>
      </c>
      <c r="E22" t="s">
        <v>397</v>
      </c>
      <c r="F22">
        <v>3</v>
      </c>
      <c r="G22">
        <v>1510</v>
      </c>
      <c r="H22">
        <v>4530</v>
      </c>
    </row>
    <row r="23" spans="1:8" x14ac:dyDescent="0.3">
      <c r="A23" t="s">
        <v>29</v>
      </c>
      <c r="B23" t="s">
        <v>228</v>
      </c>
      <c r="C23" t="s">
        <v>408</v>
      </c>
      <c r="D23" t="s">
        <v>390</v>
      </c>
      <c r="E23" t="s">
        <v>398</v>
      </c>
      <c r="F23">
        <v>7</v>
      </c>
      <c r="G23">
        <v>4034</v>
      </c>
      <c r="H23">
        <v>28238</v>
      </c>
    </row>
    <row r="24" spans="1:8" x14ac:dyDescent="0.3">
      <c r="A24" t="s">
        <v>30</v>
      </c>
      <c r="B24" t="s">
        <v>229</v>
      </c>
      <c r="C24" t="s">
        <v>379</v>
      </c>
      <c r="D24" t="s">
        <v>390</v>
      </c>
      <c r="E24" t="s">
        <v>397</v>
      </c>
      <c r="F24">
        <v>9</v>
      </c>
      <c r="G24">
        <v>2385</v>
      </c>
      <c r="H24">
        <v>21465</v>
      </c>
    </row>
    <row r="25" spans="1:8" x14ac:dyDescent="0.3">
      <c r="A25" t="s">
        <v>31</v>
      </c>
      <c r="B25" t="s">
        <v>230</v>
      </c>
      <c r="C25" t="s">
        <v>387</v>
      </c>
      <c r="D25" t="s">
        <v>390</v>
      </c>
      <c r="E25" t="s">
        <v>394</v>
      </c>
      <c r="F25">
        <v>7</v>
      </c>
      <c r="G25">
        <v>1495</v>
      </c>
      <c r="H25">
        <v>10465</v>
      </c>
    </row>
    <row r="26" spans="1:8" x14ac:dyDescent="0.3">
      <c r="A26" t="s">
        <v>32</v>
      </c>
      <c r="B26" t="s">
        <v>219</v>
      </c>
      <c r="C26" t="s">
        <v>377</v>
      </c>
      <c r="D26" t="s">
        <v>392</v>
      </c>
      <c r="E26" t="s">
        <v>395</v>
      </c>
      <c r="F26">
        <v>3</v>
      </c>
      <c r="G26">
        <v>4358</v>
      </c>
      <c r="H26" t="s">
        <v>399</v>
      </c>
    </row>
    <row r="27" spans="1:8" x14ac:dyDescent="0.3">
      <c r="A27" t="s">
        <v>33</v>
      </c>
      <c r="B27" t="s">
        <v>231</v>
      </c>
      <c r="C27" t="s">
        <v>409</v>
      </c>
      <c r="D27" t="s">
        <v>392</v>
      </c>
      <c r="E27" t="s">
        <v>395</v>
      </c>
      <c r="F27">
        <v>10</v>
      </c>
      <c r="G27">
        <v>1829</v>
      </c>
      <c r="H27">
        <v>18290</v>
      </c>
    </row>
    <row r="28" spans="1:8" x14ac:dyDescent="0.3">
      <c r="A28" t="s">
        <v>34</v>
      </c>
      <c r="B28" t="s">
        <v>232</v>
      </c>
      <c r="C28" t="s">
        <v>387</v>
      </c>
      <c r="D28" t="s">
        <v>391</v>
      </c>
      <c r="E28" t="s">
        <v>395</v>
      </c>
      <c r="F28">
        <v>9</v>
      </c>
      <c r="G28">
        <v>204</v>
      </c>
      <c r="H28">
        <v>1836</v>
      </c>
    </row>
    <row r="29" spans="1:8" x14ac:dyDescent="0.3">
      <c r="A29" t="s">
        <v>35</v>
      </c>
      <c r="B29" t="s">
        <v>233</v>
      </c>
      <c r="D29" t="s">
        <v>393</v>
      </c>
      <c r="E29" t="s">
        <v>397</v>
      </c>
      <c r="F29">
        <v>2</v>
      </c>
      <c r="G29">
        <v>3173</v>
      </c>
      <c r="H29">
        <v>6346</v>
      </c>
    </row>
    <row r="30" spans="1:8" x14ac:dyDescent="0.3">
      <c r="A30" t="s">
        <v>36</v>
      </c>
      <c r="B30" t="s">
        <v>234</v>
      </c>
      <c r="C30" t="s">
        <v>388</v>
      </c>
      <c r="D30" t="s">
        <v>390</v>
      </c>
      <c r="E30" t="s">
        <v>396</v>
      </c>
      <c r="F30">
        <v>10</v>
      </c>
      <c r="G30">
        <v>845</v>
      </c>
      <c r="H30">
        <v>8450</v>
      </c>
    </row>
    <row r="31" spans="1:8" x14ac:dyDescent="0.3">
      <c r="A31" t="s">
        <v>37</v>
      </c>
      <c r="B31" t="s">
        <v>235</v>
      </c>
      <c r="C31" t="s">
        <v>376</v>
      </c>
      <c r="D31" t="s">
        <v>393</v>
      </c>
      <c r="E31" t="s">
        <v>397</v>
      </c>
      <c r="F31">
        <v>9</v>
      </c>
      <c r="H31" t="s">
        <v>399</v>
      </c>
    </row>
    <row r="32" spans="1:8" x14ac:dyDescent="0.3">
      <c r="A32" t="s">
        <v>38</v>
      </c>
      <c r="B32" t="s">
        <v>236</v>
      </c>
      <c r="C32" t="s">
        <v>383</v>
      </c>
      <c r="D32" t="s">
        <v>393</v>
      </c>
      <c r="E32" t="s">
        <v>395</v>
      </c>
      <c r="F32">
        <v>3</v>
      </c>
      <c r="G32">
        <v>2371</v>
      </c>
      <c r="H32">
        <v>7113</v>
      </c>
    </row>
    <row r="33" spans="1:8" x14ac:dyDescent="0.3">
      <c r="A33" t="s">
        <v>39</v>
      </c>
      <c r="B33" t="s">
        <v>237</v>
      </c>
      <c r="C33" t="s">
        <v>409</v>
      </c>
      <c r="D33" t="s">
        <v>393</v>
      </c>
      <c r="E33" t="s">
        <v>396</v>
      </c>
      <c r="F33">
        <v>9</v>
      </c>
      <c r="G33">
        <v>1847</v>
      </c>
      <c r="H33">
        <v>16623</v>
      </c>
    </row>
    <row r="34" spans="1:8" x14ac:dyDescent="0.3">
      <c r="A34" t="s">
        <v>40</v>
      </c>
      <c r="B34" t="s">
        <v>238</v>
      </c>
      <c r="C34" t="s">
        <v>411</v>
      </c>
      <c r="D34" t="s">
        <v>392</v>
      </c>
      <c r="E34" t="s">
        <v>398</v>
      </c>
      <c r="F34">
        <v>9</v>
      </c>
      <c r="G34">
        <v>3898</v>
      </c>
      <c r="H34">
        <v>35082</v>
      </c>
    </row>
    <row r="35" spans="1:8" x14ac:dyDescent="0.3">
      <c r="A35" t="s">
        <v>41</v>
      </c>
      <c r="B35" t="s">
        <v>239</v>
      </c>
      <c r="C35" t="s">
        <v>388</v>
      </c>
      <c r="D35" t="s">
        <v>391</v>
      </c>
      <c r="E35" t="s">
        <v>397</v>
      </c>
      <c r="F35">
        <v>6</v>
      </c>
      <c r="G35">
        <v>372</v>
      </c>
      <c r="H35">
        <v>2232</v>
      </c>
    </row>
    <row r="36" spans="1:8" x14ac:dyDescent="0.3">
      <c r="A36" t="s">
        <v>42</v>
      </c>
      <c r="B36" t="s">
        <v>240</v>
      </c>
      <c r="C36" t="s">
        <v>381</v>
      </c>
      <c r="D36" t="s">
        <v>391</v>
      </c>
      <c r="E36" t="s">
        <v>395</v>
      </c>
      <c r="F36">
        <v>4</v>
      </c>
      <c r="G36">
        <v>258</v>
      </c>
      <c r="H36">
        <v>1032</v>
      </c>
    </row>
    <row r="37" spans="1:8" x14ac:dyDescent="0.3">
      <c r="A37" t="s">
        <v>43</v>
      </c>
      <c r="B37" t="s">
        <v>241</v>
      </c>
      <c r="C37" t="s">
        <v>376</v>
      </c>
      <c r="D37" t="s">
        <v>390</v>
      </c>
      <c r="E37" t="s">
        <v>396</v>
      </c>
      <c r="F37">
        <v>2</v>
      </c>
      <c r="H37">
        <v>914</v>
      </c>
    </row>
    <row r="38" spans="1:8" x14ac:dyDescent="0.3">
      <c r="A38" t="s">
        <v>44</v>
      </c>
      <c r="B38" t="s">
        <v>242</v>
      </c>
      <c r="C38" t="s">
        <v>375</v>
      </c>
      <c r="D38" t="s">
        <v>391</v>
      </c>
      <c r="E38" t="s">
        <v>394</v>
      </c>
      <c r="F38">
        <v>8</v>
      </c>
      <c r="G38">
        <v>1955</v>
      </c>
      <c r="H38">
        <v>15640</v>
      </c>
    </row>
    <row r="39" spans="1:8" x14ac:dyDescent="0.3">
      <c r="A39" t="s">
        <v>45</v>
      </c>
      <c r="B39" t="s">
        <v>243</v>
      </c>
      <c r="C39" t="s">
        <v>389</v>
      </c>
      <c r="D39" t="s">
        <v>393</v>
      </c>
      <c r="E39" t="s">
        <v>396</v>
      </c>
      <c r="F39">
        <v>8</v>
      </c>
      <c r="G39">
        <v>3534</v>
      </c>
      <c r="H39">
        <v>28272</v>
      </c>
    </row>
    <row r="40" spans="1:8" x14ac:dyDescent="0.3">
      <c r="A40" t="s">
        <v>46</v>
      </c>
      <c r="B40" t="s">
        <v>244</v>
      </c>
      <c r="C40" t="s">
        <v>375</v>
      </c>
      <c r="D40" t="s">
        <v>390</v>
      </c>
      <c r="E40" t="s">
        <v>398</v>
      </c>
      <c r="F40">
        <v>6</v>
      </c>
      <c r="G40">
        <v>3669</v>
      </c>
      <c r="H40">
        <v>22014</v>
      </c>
    </row>
    <row r="41" spans="1:8" x14ac:dyDescent="0.3">
      <c r="A41" t="s">
        <v>47</v>
      </c>
      <c r="B41" t="s">
        <v>245</v>
      </c>
      <c r="C41" t="s">
        <v>386</v>
      </c>
      <c r="D41" t="s">
        <v>390</v>
      </c>
      <c r="E41" t="s">
        <v>397</v>
      </c>
      <c r="F41">
        <v>1</v>
      </c>
      <c r="G41">
        <v>3498</v>
      </c>
      <c r="H41">
        <v>3498</v>
      </c>
    </row>
    <row r="42" spans="1:8" x14ac:dyDescent="0.3">
      <c r="A42" t="s">
        <v>48</v>
      </c>
      <c r="B42" t="s">
        <v>246</v>
      </c>
      <c r="C42" t="s">
        <v>385</v>
      </c>
      <c r="D42" t="s">
        <v>390</v>
      </c>
      <c r="E42" t="s">
        <v>396</v>
      </c>
      <c r="F42">
        <v>4</v>
      </c>
      <c r="G42">
        <v>1758</v>
      </c>
      <c r="H42">
        <v>7032</v>
      </c>
    </row>
    <row r="43" spans="1:8" x14ac:dyDescent="0.3">
      <c r="A43" t="s">
        <v>49</v>
      </c>
      <c r="B43" t="s">
        <v>247</v>
      </c>
      <c r="C43" t="s">
        <v>386</v>
      </c>
      <c r="D43" t="s">
        <v>391</v>
      </c>
      <c r="E43" t="s">
        <v>398</v>
      </c>
      <c r="F43">
        <v>3</v>
      </c>
      <c r="G43">
        <v>2481</v>
      </c>
      <c r="H43">
        <v>7443</v>
      </c>
    </row>
    <row r="44" spans="1:8" x14ac:dyDescent="0.3">
      <c r="A44" t="s">
        <v>50</v>
      </c>
      <c r="B44" t="s">
        <v>248</v>
      </c>
      <c r="C44" t="s">
        <v>388</v>
      </c>
      <c r="D44" t="s">
        <v>390</v>
      </c>
      <c r="E44" t="s">
        <v>398</v>
      </c>
      <c r="F44">
        <v>9</v>
      </c>
      <c r="G44">
        <v>1002</v>
      </c>
      <c r="H44">
        <v>9018</v>
      </c>
    </row>
    <row r="45" spans="1:8" x14ac:dyDescent="0.3">
      <c r="A45" t="s">
        <v>51</v>
      </c>
      <c r="B45" t="s">
        <v>249</v>
      </c>
      <c r="C45" t="s">
        <v>383</v>
      </c>
      <c r="D45" t="s">
        <v>390</v>
      </c>
      <c r="E45" t="s">
        <v>397</v>
      </c>
      <c r="F45">
        <v>4</v>
      </c>
      <c r="G45">
        <v>1562</v>
      </c>
      <c r="H45">
        <v>6248</v>
      </c>
    </row>
    <row r="46" spans="1:8" x14ac:dyDescent="0.3">
      <c r="A46" t="s">
        <v>52</v>
      </c>
      <c r="B46" t="s">
        <v>250</v>
      </c>
      <c r="C46" t="s">
        <v>386</v>
      </c>
      <c r="D46" t="s">
        <v>393</v>
      </c>
      <c r="E46" t="s">
        <v>396</v>
      </c>
      <c r="F46">
        <v>7</v>
      </c>
      <c r="G46">
        <v>680</v>
      </c>
      <c r="H46">
        <v>4760</v>
      </c>
    </row>
    <row r="47" spans="1:8" x14ac:dyDescent="0.3">
      <c r="A47" t="s">
        <v>53</v>
      </c>
      <c r="B47" t="s">
        <v>251</v>
      </c>
      <c r="C47" t="s">
        <v>411</v>
      </c>
      <c r="D47" t="s">
        <v>390</v>
      </c>
      <c r="E47" t="s">
        <v>398</v>
      </c>
      <c r="F47">
        <v>5</v>
      </c>
      <c r="G47">
        <v>3927</v>
      </c>
      <c r="H47">
        <v>19635</v>
      </c>
    </row>
    <row r="48" spans="1:8" x14ac:dyDescent="0.3">
      <c r="A48" t="s">
        <v>54</v>
      </c>
      <c r="B48" t="s">
        <v>252</v>
      </c>
      <c r="C48" t="s">
        <v>411</v>
      </c>
      <c r="D48" t="s">
        <v>393</v>
      </c>
      <c r="E48" t="s">
        <v>396</v>
      </c>
      <c r="F48">
        <v>4</v>
      </c>
      <c r="G48">
        <v>2630</v>
      </c>
      <c r="H48">
        <v>10520</v>
      </c>
    </row>
    <row r="49" spans="1:8" x14ac:dyDescent="0.3">
      <c r="A49" t="s">
        <v>55</v>
      </c>
      <c r="B49" t="s">
        <v>253</v>
      </c>
      <c r="C49" t="s">
        <v>377</v>
      </c>
      <c r="D49" t="s">
        <v>390</v>
      </c>
      <c r="E49" t="s">
        <v>394</v>
      </c>
      <c r="F49">
        <v>1</v>
      </c>
      <c r="G49">
        <v>610</v>
      </c>
      <c r="H49">
        <v>610</v>
      </c>
    </row>
    <row r="50" spans="1:8" x14ac:dyDescent="0.3">
      <c r="A50" t="s">
        <v>56</v>
      </c>
      <c r="B50" t="s">
        <v>254</v>
      </c>
      <c r="C50" t="s">
        <v>386</v>
      </c>
      <c r="D50" t="s">
        <v>391</v>
      </c>
      <c r="E50" t="s">
        <v>397</v>
      </c>
      <c r="F50">
        <v>9</v>
      </c>
      <c r="G50">
        <v>856</v>
      </c>
      <c r="H50">
        <v>7704</v>
      </c>
    </row>
    <row r="51" spans="1:8" x14ac:dyDescent="0.3">
      <c r="A51" t="s">
        <v>57</v>
      </c>
      <c r="B51" t="s">
        <v>255</v>
      </c>
      <c r="C51" t="s">
        <v>375</v>
      </c>
      <c r="D51" t="s">
        <v>390</v>
      </c>
      <c r="E51" t="s">
        <v>396</v>
      </c>
      <c r="F51">
        <v>7</v>
      </c>
      <c r="G51">
        <v>1182</v>
      </c>
      <c r="H51">
        <v>8274</v>
      </c>
    </row>
    <row r="52" spans="1:8" x14ac:dyDescent="0.3">
      <c r="A52" t="s">
        <v>58</v>
      </c>
      <c r="B52" t="s">
        <v>256</v>
      </c>
      <c r="C52" t="s">
        <v>388</v>
      </c>
      <c r="D52" t="s">
        <v>390</v>
      </c>
      <c r="E52" t="s">
        <v>395</v>
      </c>
      <c r="F52">
        <v>2</v>
      </c>
      <c r="G52">
        <v>3634</v>
      </c>
      <c r="H52">
        <v>7268</v>
      </c>
    </row>
    <row r="53" spans="1:8" x14ac:dyDescent="0.3">
      <c r="A53" t="s">
        <v>59</v>
      </c>
      <c r="B53" t="s">
        <v>257</v>
      </c>
      <c r="C53" t="s">
        <v>408</v>
      </c>
      <c r="D53" t="s">
        <v>392</v>
      </c>
      <c r="E53" t="s">
        <v>394</v>
      </c>
      <c r="F53">
        <v>4</v>
      </c>
      <c r="G53">
        <v>2773</v>
      </c>
      <c r="H53">
        <v>11092</v>
      </c>
    </row>
    <row r="54" spans="1:8" x14ac:dyDescent="0.3">
      <c r="A54" t="s">
        <v>60</v>
      </c>
      <c r="B54" t="s">
        <v>258</v>
      </c>
      <c r="C54" t="s">
        <v>379</v>
      </c>
      <c r="D54" t="s">
        <v>393</v>
      </c>
      <c r="E54" t="s">
        <v>396</v>
      </c>
      <c r="F54">
        <v>5</v>
      </c>
      <c r="G54">
        <v>3945</v>
      </c>
      <c r="H54">
        <v>19725</v>
      </c>
    </row>
    <row r="55" spans="1:8" x14ac:dyDescent="0.3">
      <c r="A55" t="s">
        <v>61</v>
      </c>
      <c r="B55" t="s">
        <v>259</v>
      </c>
      <c r="C55" t="s">
        <v>384</v>
      </c>
      <c r="D55" t="s">
        <v>390</v>
      </c>
      <c r="E55" t="s">
        <v>397</v>
      </c>
      <c r="F55">
        <v>8</v>
      </c>
      <c r="G55">
        <v>4812</v>
      </c>
      <c r="H55">
        <v>38496</v>
      </c>
    </row>
    <row r="56" spans="1:8" x14ac:dyDescent="0.3">
      <c r="A56" t="s">
        <v>62</v>
      </c>
      <c r="B56" t="s">
        <v>260</v>
      </c>
      <c r="C56" t="s">
        <v>375</v>
      </c>
      <c r="D56" t="s">
        <v>391</v>
      </c>
      <c r="E56" t="s">
        <v>395</v>
      </c>
      <c r="F56">
        <v>5</v>
      </c>
      <c r="G56">
        <v>1285</v>
      </c>
      <c r="H56">
        <v>6425</v>
      </c>
    </row>
    <row r="57" spans="1:8" x14ac:dyDescent="0.3">
      <c r="A57" t="s">
        <v>63</v>
      </c>
      <c r="B57" t="s">
        <v>261</v>
      </c>
      <c r="C57" t="s">
        <v>384</v>
      </c>
      <c r="D57" t="s">
        <v>390</v>
      </c>
      <c r="E57" t="s">
        <v>396</v>
      </c>
      <c r="F57">
        <v>6</v>
      </c>
      <c r="G57">
        <v>2534</v>
      </c>
      <c r="H57">
        <v>15204</v>
      </c>
    </row>
    <row r="58" spans="1:8" x14ac:dyDescent="0.3">
      <c r="A58" t="s">
        <v>64</v>
      </c>
      <c r="B58" t="s">
        <v>262</v>
      </c>
      <c r="C58" t="s">
        <v>386</v>
      </c>
      <c r="D58" t="s">
        <v>392</v>
      </c>
      <c r="F58">
        <v>9</v>
      </c>
      <c r="G58">
        <v>264</v>
      </c>
      <c r="H58">
        <v>2376</v>
      </c>
    </row>
    <row r="59" spans="1:8" x14ac:dyDescent="0.3">
      <c r="A59" t="s">
        <v>65</v>
      </c>
      <c r="B59" t="s">
        <v>263</v>
      </c>
      <c r="C59" t="s">
        <v>379</v>
      </c>
      <c r="D59" t="s">
        <v>390</v>
      </c>
      <c r="E59" t="s">
        <v>396</v>
      </c>
      <c r="F59">
        <v>5</v>
      </c>
      <c r="G59">
        <v>1145</v>
      </c>
      <c r="H59">
        <v>5725</v>
      </c>
    </row>
    <row r="60" spans="1:8" x14ac:dyDescent="0.3">
      <c r="A60" t="s">
        <v>66</v>
      </c>
      <c r="B60" t="s">
        <v>264</v>
      </c>
      <c r="C60" t="s">
        <v>376</v>
      </c>
      <c r="D60" t="s">
        <v>391</v>
      </c>
      <c r="E60" t="s">
        <v>394</v>
      </c>
      <c r="F60">
        <v>5</v>
      </c>
      <c r="G60">
        <v>1925</v>
      </c>
      <c r="H60">
        <v>9625</v>
      </c>
    </row>
    <row r="61" spans="1:8" x14ac:dyDescent="0.3">
      <c r="A61" t="s">
        <v>67</v>
      </c>
      <c r="B61" t="s">
        <v>265</v>
      </c>
      <c r="D61" t="s">
        <v>392</v>
      </c>
      <c r="E61" t="s">
        <v>395</v>
      </c>
      <c r="F61">
        <v>8</v>
      </c>
      <c r="G61">
        <v>2257</v>
      </c>
      <c r="H61">
        <v>18056</v>
      </c>
    </row>
    <row r="62" spans="1:8" x14ac:dyDescent="0.3">
      <c r="A62" t="s">
        <v>68</v>
      </c>
      <c r="B62" t="s">
        <v>266</v>
      </c>
      <c r="C62" t="s">
        <v>375</v>
      </c>
      <c r="D62" t="s">
        <v>393</v>
      </c>
      <c r="E62" t="s">
        <v>394</v>
      </c>
      <c r="F62">
        <v>1</v>
      </c>
      <c r="G62">
        <v>229</v>
      </c>
      <c r="H62" t="s">
        <v>400</v>
      </c>
    </row>
    <row r="63" spans="1:8" x14ac:dyDescent="0.3">
      <c r="A63" t="s">
        <v>69</v>
      </c>
      <c r="B63" t="s">
        <v>267</v>
      </c>
      <c r="C63" t="s">
        <v>385</v>
      </c>
      <c r="D63" t="s">
        <v>391</v>
      </c>
      <c r="E63" t="s">
        <v>394</v>
      </c>
      <c r="F63">
        <v>3</v>
      </c>
      <c r="G63">
        <v>3819</v>
      </c>
      <c r="H63">
        <v>11457</v>
      </c>
    </row>
    <row r="64" spans="1:8" x14ac:dyDescent="0.3">
      <c r="A64" t="s">
        <v>70</v>
      </c>
      <c r="B64" t="s">
        <v>268</v>
      </c>
      <c r="C64" t="s">
        <v>376</v>
      </c>
      <c r="D64" t="s">
        <v>393</v>
      </c>
      <c r="E64" t="s">
        <v>395</v>
      </c>
      <c r="F64">
        <v>1</v>
      </c>
      <c r="G64">
        <v>1116</v>
      </c>
      <c r="H64">
        <v>1116</v>
      </c>
    </row>
    <row r="65" spans="1:8" x14ac:dyDescent="0.3">
      <c r="A65" t="s">
        <v>71</v>
      </c>
      <c r="B65" t="s">
        <v>269</v>
      </c>
      <c r="C65" t="s">
        <v>384</v>
      </c>
      <c r="D65" t="s">
        <v>391</v>
      </c>
      <c r="E65" t="s">
        <v>395</v>
      </c>
      <c r="F65">
        <v>1</v>
      </c>
      <c r="G65">
        <v>3224</v>
      </c>
      <c r="H65">
        <v>3224</v>
      </c>
    </row>
    <row r="66" spans="1:8" x14ac:dyDescent="0.3">
      <c r="A66" t="s">
        <v>72</v>
      </c>
      <c r="B66" t="s">
        <v>270</v>
      </c>
      <c r="C66" t="s">
        <v>381</v>
      </c>
      <c r="D66" t="s">
        <v>391</v>
      </c>
      <c r="E66" t="s">
        <v>398</v>
      </c>
      <c r="F66">
        <v>3</v>
      </c>
      <c r="G66">
        <v>542</v>
      </c>
      <c r="H66">
        <v>1626</v>
      </c>
    </row>
    <row r="67" spans="1:8" x14ac:dyDescent="0.3">
      <c r="A67" t="s">
        <v>73</v>
      </c>
      <c r="B67" t="s">
        <v>271</v>
      </c>
      <c r="C67" t="s">
        <v>387</v>
      </c>
      <c r="D67" t="s">
        <v>390</v>
      </c>
      <c r="E67" t="s">
        <v>394</v>
      </c>
      <c r="F67">
        <v>4</v>
      </c>
      <c r="G67">
        <v>2244</v>
      </c>
      <c r="H67">
        <v>8976</v>
      </c>
    </row>
    <row r="68" spans="1:8" x14ac:dyDescent="0.3">
      <c r="A68" t="s">
        <v>74</v>
      </c>
      <c r="B68" t="s">
        <v>272</v>
      </c>
      <c r="C68" t="s">
        <v>387</v>
      </c>
      <c r="D68" t="s">
        <v>393</v>
      </c>
      <c r="E68" t="s">
        <v>395</v>
      </c>
      <c r="F68">
        <v>3</v>
      </c>
      <c r="G68">
        <v>2139</v>
      </c>
      <c r="H68">
        <v>6417</v>
      </c>
    </row>
    <row r="69" spans="1:8" x14ac:dyDescent="0.3">
      <c r="A69" t="s">
        <v>75</v>
      </c>
      <c r="B69" t="s">
        <v>273</v>
      </c>
      <c r="C69" t="s">
        <v>385</v>
      </c>
      <c r="D69" t="s">
        <v>391</v>
      </c>
      <c r="E69" t="s">
        <v>398</v>
      </c>
      <c r="F69">
        <v>1</v>
      </c>
      <c r="G69">
        <v>1669</v>
      </c>
      <c r="H69">
        <v>1669</v>
      </c>
    </row>
    <row r="70" spans="1:8" x14ac:dyDescent="0.3">
      <c r="A70" t="s">
        <v>76</v>
      </c>
      <c r="B70" t="s">
        <v>274</v>
      </c>
      <c r="C70" t="s">
        <v>385</v>
      </c>
      <c r="D70" t="s">
        <v>393</v>
      </c>
      <c r="E70" t="s">
        <v>396</v>
      </c>
      <c r="F70">
        <v>5</v>
      </c>
      <c r="G70">
        <v>1504</v>
      </c>
      <c r="H70">
        <v>7520</v>
      </c>
    </row>
    <row r="71" spans="1:8" x14ac:dyDescent="0.3">
      <c r="A71" t="s">
        <v>77</v>
      </c>
      <c r="B71" t="s">
        <v>275</v>
      </c>
      <c r="C71" t="s">
        <v>411</v>
      </c>
      <c r="D71" t="s">
        <v>390</v>
      </c>
      <c r="E71" t="s">
        <v>398</v>
      </c>
      <c r="F71">
        <v>4</v>
      </c>
      <c r="G71">
        <v>1834</v>
      </c>
      <c r="H71">
        <v>7336</v>
      </c>
    </row>
    <row r="72" spans="1:8" x14ac:dyDescent="0.3">
      <c r="A72" t="s">
        <v>78</v>
      </c>
      <c r="B72" t="s">
        <v>276</v>
      </c>
      <c r="C72" t="s">
        <v>387</v>
      </c>
      <c r="D72" t="s">
        <v>392</v>
      </c>
      <c r="E72" t="s">
        <v>396</v>
      </c>
      <c r="F72">
        <v>4</v>
      </c>
      <c r="G72">
        <v>393</v>
      </c>
      <c r="H72">
        <v>1572</v>
      </c>
    </row>
    <row r="73" spans="1:8" x14ac:dyDescent="0.3">
      <c r="A73" t="s">
        <v>79</v>
      </c>
      <c r="B73" t="s">
        <v>277</v>
      </c>
      <c r="C73" t="s">
        <v>411</v>
      </c>
      <c r="D73" t="s">
        <v>392</v>
      </c>
      <c r="E73" t="s">
        <v>394</v>
      </c>
      <c r="F73">
        <v>2</v>
      </c>
      <c r="G73">
        <v>2486</v>
      </c>
      <c r="H73">
        <v>4972</v>
      </c>
    </row>
    <row r="74" spans="1:8" x14ac:dyDescent="0.3">
      <c r="A74" t="s">
        <v>80</v>
      </c>
      <c r="B74" t="s">
        <v>278</v>
      </c>
      <c r="C74" t="s">
        <v>383</v>
      </c>
      <c r="D74" t="s">
        <v>393</v>
      </c>
      <c r="E74" t="s">
        <v>395</v>
      </c>
      <c r="F74">
        <v>6</v>
      </c>
      <c r="G74">
        <v>426</v>
      </c>
      <c r="H74">
        <v>2556</v>
      </c>
    </row>
    <row r="75" spans="1:8" x14ac:dyDescent="0.3">
      <c r="A75" t="s">
        <v>81</v>
      </c>
      <c r="B75" t="s">
        <v>279</v>
      </c>
      <c r="C75" t="s">
        <v>384</v>
      </c>
      <c r="D75" t="s">
        <v>392</v>
      </c>
      <c r="E75" t="s">
        <v>396</v>
      </c>
      <c r="F75">
        <v>10</v>
      </c>
      <c r="G75">
        <v>2374</v>
      </c>
      <c r="H75">
        <v>23740</v>
      </c>
    </row>
    <row r="76" spans="1:8" x14ac:dyDescent="0.3">
      <c r="A76" t="s">
        <v>82</v>
      </c>
      <c r="B76" t="s">
        <v>280</v>
      </c>
      <c r="C76" t="s">
        <v>375</v>
      </c>
      <c r="D76" t="s">
        <v>393</v>
      </c>
      <c r="E76" t="s">
        <v>394</v>
      </c>
      <c r="F76">
        <v>6</v>
      </c>
      <c r="G76">
        <v>3774</v>
      </c>
      <c r="H76">
        <v>22644</v>
      </c>
    </row>
    <row r="77" spans="1:8" x14ac:dyDescent="0.3">
      <c r="A77" t="s">
        <v>83</v>
      </c>
      <c r="B77" t="s">
        <v>281</v>
      </c>
      <c r="C77" t="s">
        <v>381</v>
      </c>
      <c r="D77" t="s">
        <v>390</v>
      </c>
      <c r="E77" t="s">
        <v>398</v>
      </c>
      <c r="F77">
        <v>10</v>
      </c>
      <c r="G77">
        <v>1757</v>
      </c>
      <c r="H77">
        <v>17570</v>
      </c>
    </row>
    <row r="78" spans="1:8" x14ac:dyDescent="0.3">
      <c r="A78" t="s">
        <v>84</v>
      </c>
      <c r="B78" t="s">
        <v>282</v>
      </c>
      <c r="C78" t="s">
        <v>377</v>
      </c>
      <c r="D78" t="s">
        <v>393</v>
      </c>
      <c r="E78" t="s">
        <v>397</v>
      </c>
      <c r="F78">
        <v>9</v>
      </c>
      <c r="G78">
        <v>4610</v>
      </c>
      <c r="H78">
        <v>41490</v>
      </c>
    </row>
    <row r="79" spans="1:8" x14ac:dyDescent="0.3">
      <c r="A79" t="s">
        <v>85</v>
      </c>
      <c r="B79" t="s">
        <v>283</v>
      </c>
      <c r="C79" t="s">
        <v>387</v>
      </c>
      <c r="D79" t="s">
        <v>393</v>
      </c>
      <c r="E79" t="s">
        <v>397</v>
      </c>
      <c r="H79">
        <v>16626</v>
      </c>
    </row>
    <row r="80" spans="1:8" x14ac:dyDescent="0.3">
      <c r="A80" t="s">
        <v>86</v>
      </c>
      <c r="B80" t="s">
        <v>284</v>
      </c>
      <c r="C80" t="s">
        <v>376</v>
      </c>
      <c r="D80" t="s">
        <v>392</v>
      </c>
      <c r="E80" t="s">
        <v>395</v>
      </c>
      <c r="F80">
        <v>5</v>
      </c>
      <c r="G80">
        <v>3545</v>
      </c>
      <c r="H80">
        <v>17725</v>
      </c>
    </row>
    <row r="81" spans="1:8" x14ac:dyDescent="0.3">
      <c r="A81" t="s">
        <v>87</v>
      </c>
      <c r="B81" t="s">
        <v>285</v>
      </c>
      <c r="C81" t="s">
        <v>411</v>
      </c>
      <c r="D81" t="s">
        <v>392</v>
      </c>
      <c r="E81" t="s">
        <v>395</v>
      </c>
      <c r="F81">
        <v>3</v>
      </c>
      <c r="G81">
        <v>1771</v>
      </c>
      <c r="H81">
        <v>5313</v>
      </c>
    </row>
    <row r="82" spans="1:8" x14ac:dyDescent="0.3">
      <c r="A82" t="s">
        <v>88</v>
      </c>
      <c r="B82" t="s">
        <v>286</v>
      </c>
      <c r="C82" t="s">
        <v>383</v>
      </c>
      <c r="D82" t="s">
        <v>393</v>
      </c>
      <c r="E82" t="s">
        <v>396</v>
      </c>
      <c r="F82">
        <v>10</v>
      </c>
      <c r="G82">
        <v>4862</v>
      </c>
      <c r="H82">
        <v>48620</v>
      </c>
    </row>
    <row r="83" spans="1:8" x14ac:dyDescent="0.3">
      <c r="A83" t="s">
        <v>89</v>
      </c>
      <c r="B83" t="s">
        <v>287</v>
      </c>
      <c r="C83" t="s">
        <v>411</v>
      </c>
      <c r="D83" t="s">
        <v>390</v>
      </c>
      <c r="E83" t="s">
        <v>394</v>
      </c>
      <c r="F83">
        <v>5</v>
      </c>
      <c r="G83">
        <v>1921</v>
      </c>
      <c r="H83">
        <v>9605</v>
      </c>
    </row>
    <row r="84" spans="1:8" x14ac:dyDescent="0.3">
      <c r="A84" t="s">
        <v>90</v>
      </c>
      <c r="B84" t="s">
        <v>288</v>
      </c>
      <c r="C84" t="s">
        <v>385</v>
      </c>
      <c r="D84" t="s">
        <v>392</v>
      </c>
      <c r="E84" t="s">
        <v>398</v>
      </c>
      <c r="F84">
        <v>8</v>
      </c>
      <c r="G84">
        <v>3822</v>
      </c>
      <c r="H84">
        <v>30576</v>
      </c>
    </row>
    <row r="85" spans="1:8" x14ac:dyDescent="0.3">
      <c r="A85" t="s">
        <v>91</v>
      </c>
      <c r="B85" t="s">
        <v>289</v>
      </c>
      <c r="C85" t="s">
        <v>381</v>
      </c>
      <c r="E85" t="s">
        <v>396</v>
      </c>
      <c r="F85">
        <v>2</v>
      </c>
      <c r="G85">
        <v>2524</v>
      </c>
      <c r="H85">
        <v>5048</v>
      </c>
    </row>
    <row r="86" spans="1:8" x14ac:dyDescent="0.3">
      <c r="A86" t="s">
        <v>92</v>
      </c>
      <c r="B86" t="s">
        <v>290</v>
      </c>
      <c r="C86" t="s">
        <v>383</v>
      </c>
      <c r="D86" t="s">
        <v>392</v>
      </c>
      <c r="E86" t="s">
        <v>397</v>
      </c>
      <c r="F86">
        <v>4</v>
      </c>
      <c r="G86">
        <v>2742</v>
      </c>
      <c r="H86">
        <v>10968</v>
      </c>
    </row>
    <row r="87" spans="1:8" x14ac:dyDescent="0.3">
      <c r="A87" t="s">
        <v>93</v>
      </c>
      <c r="B87" t="s">
        <v>291</v>
      </c>
      <c r="C87" t="s">
        <v>385</v>
      </c>
      <c r="D87" t="s">
        <v>391</v>
      </c>
      <c r="E87" t="s">
        <v>396</v>
      </c>
      <c r="F87">
        <v>1</v>
      </c>
      <c r="G87">
        <v>578</v>
      </c>
      <c r="H87">
        <v>578</v>
      </c>
    </row>
    <row r="88" spans="1:8" x14ac:dyDescent="0.3">
      <c r="A88" t="s">
        <v>94</v>
      </c>
      <c r="B88" t="s">
        <v>292</v>
      </c>
      <c r="C88" t="s">
        <v>386</v>
      </c>
      <c r="D88" t="s">
        <v>390</v>
      </c>
      <c r="E88" t="s">
        <v>398</v>
      </c>
      <c r="F88">
        <v>7</v>
      </c>
      <c r="G88">
        <v>4915</v>
      </c>
      <c r="H88">
        <v>34405</v>
      </c>
    </row>
    <row r="89" spans="1:8" x14ac:dyDescent="0.3">
      <c r="A89" t="s">
        <v>95</v>
      </c>
      <c r="B89" t="s">
        <v>293</v>
      </c>
      <c r="C89" t="s">
        <v>376</v>
      </c>
      <c r="D89" t="s">
        <v>393</v>
      </c>
      <c r="E89" t="s">
        <v>398</v>
      </c>
      <c r="F89">
        <v>7</v>
      </c>
      <c r="G89">
        <v>2198</v>
      </c>
      <c r="H89">
        <v>15386</v>
      </c>
    </row>
    <row r="90" spans="1:8" x14ac:dyDescent="0.3">
      <c r="A90" t="s">
        <v>96</v>
      </c>
      <c r="B90" t="s">
        <v>294</v>
      </c>
      <c r="C90" t="s">
        <v>383</v>
      </c>
      <c r="D90" t="s">
        <v>390</v>
      </c>
      <c r="E90" t="s">
        <v>397</v>
      </c>
      <c r="F90">
        <v>7</v>
      </c>
      <c r="G90">
        <v>1992</v>
      </c>
      <c r="H90">
        <v>13944</v>
      </c>
    </row>
    <row r="91" spans="1:8" x14ac:dyDescent="0.3">
      <c r="A91" t="s">
        <v>97</v>
      </c>
      <c r="B91" t="s">
        <v>295</v>
      </c>
      <c r="C91" t="s">
        <v>385</v>
      </c>
      <c r="D91" t="s">
        <v>393</v>
      </c>
      <c r="E91" t="s">
        <v>397</v>
      </c>
      <c r="F91">
        <v>9</v>
      </c>
      <c r="G91">
        <v>2241</v>
      </c>
      <c r="H91">
        <v>20169</v>
      </c>
    </row>
    <row r="92" spans="1:8" x14ac:dyDescent="0.3">
      <c r="A92" t="s">
        <v>98</v>
      </c>
      <c r="B92" t="s">
        <v>296</v>
      </c>
      <c r="C92" t="s">
        <v>386</v>
      </c>
      <c r="D92" t="s">
        <v>391</v>
      </c>
      <c r="E92" t="s">
        <v>398</v>
      </c>
      <c r="F92">
        <v>9</v>
      </c>
      <c r="G92">
        <v>4778</v>
      </c>
      <c r="H92">
        <v>43002</v>
      </c>
    </row>
    <row r="93" spans="1:8" x14ac:dyDescent="0.3">
      <c r="A93" t="s">
        <v>99</v>
      </c>
      <c r="B93" t="s">
        <v>297</v>
      </c>
      <c r="C93" t="s">
        <v>387</v>
      </c>
      <c r="D93" t="s">
        <v>393</v>
      </c>
      <c r="E93" t="s">
        <v>395</v>
      </c>
      <c r="F93">
        <v>9</v>
      </c>
      <c r="G93">
        <v>3695</v>
      </c>
      <c r="H93">
        <v>33255</v>
      </c>
    </row>
    <row r="94" spans="1:8" x14ac:dyDescent="0.3">
      <c r="A94" t="s">
        <v>100</v>
      </c>
      <c r="B94" t="s">
        <v>298</v>
      </c>
      <c r="C94" t="s">
        <v>386</v>
      </c>
      <c r="D94" t="s">
        <v>391</v>
      </c>
      <c r="E94" t="s">
        <v>398</v>
      </c>
      <c r="F94">
        <v>8</v>
      </c>
      <c r="G94">
        <v>2323</v>
      </c>
      <c r="H94">
        <v>18584</v>
      </c>
    </row>
    <row r="95" spans="1:8" x14ac:dyDescent="0.3">
      <c r="A95" t="s">
        <v>101</v>
      </c>
      <c r="B95" t="s">
        <v>299</v>
      </c>
      <c r="C95" t="s">
        <v>409</v>
      </c>
      <c r="D95" t="s">
        <v>392</v>
      </c>
      <c r="E95" t="s">
        <v>395</v>
      </c>
      <c r="F95">
        <v>8</v>
      </c>
      <c r="G95">
        <v>2159</v>
      </c>
      <c r="H95">
        <v>17272</v>
      </c>
    </row>
    <row r="96" spans="1:8" x14ac:dyDescent="0.3">
      <c r="A96" t="s">
        <v>102</v>
      </c>
      <c r="B96" t="s">
        <v>300</v>
      </c>
      <c r="C96" t="s">
        <v>386</v>
      </c>
      <c r="D96" t="s">
        <v>390</v>
      </c>
      <c r="E96" t="s">
        <v>394</v>
      </c>
      <c r="F96">
        <v>4</v>
      </c>
      <c r="G96">
        <v>2425</v>
      </c>
      <c r="H96">
        <v>9700</v>
      </c>
    </row>
    <row r="97" spans="1:8" x14ac:dyDescent="0.3">
      <c r="A97" t="s">
        <v>103</v>
      </c>
      <c r="B97" t="s">
        <v>301</v>
      </c>
      <c r="D97" t="s">
        <v>390</v>
      </c>
      <c r="E97" t="s">
        <v>396</v>
      </c>
      <c r="F97">
        <v>3</v>
      </c>
      <c r="G97">
        <v>2094</v>
      </c>
      <c r="H97">
        <v>6282</v>
      </c>
    </row>
    <row r="98" spans="1:8" x14ac:dyDescent="0.3">
      <c r="A98" t="s">
        <v>104</v>
      </c>
      <c r="B98" t="s">
        <v>302</v>
      </c>
      <c r="C98" t="s">
        <v>376</v>
      </c>
      <c r="D98" t="s">
        <v>391</v>
      </c>
      <c r="E98" t="s">
        <v>396</v>
      </c>
      <c r="F98">
        <v>2</v>
      </c>
      <c r="G98">
        <v>3598</v>
      </c>
      <c r="H98">
        <v>7196</v>
      </c>
    </row>
    <row r="99" spans="1:8" x14ac:dyDescent="0.3">
      <c r="A99" t="s">
        <v>105</v>
      </c>
      <c r="B99" t="s">
        <v>303</v>
      </c>
      <c r="C99" t="s">
        <v>387</v>
      </c>
      <c r="D99" t="s">
        <v>393</v>
      </c>
      <c r="E99" t="s">
        <v>398</v>
      </c>
      <c r="F99">
        <v>1</v>
      </c>
      <c r="G99">
        <v>1894</v>
      </c>
      <c r="H99">
        <v>1894</v>
      </c>
    </row>
    <row r="100" spans="1:8" x14ac:dyDescent="0.3">
      <c r="A100" t="s">
        <v>106</v>
      </c>
      <c r="B100" t="s">
        <v>286</v>
      </c>
      <c r="C100" t="s">
        <v>411</v>
      </c>
      <c r="D100" t="s">
        <v>390</v>
      </c>
      <c r="E100" t="s">
        <v>395</v>
      </c>
      <c r="F100">
        <v>7</v>
      </c>
      <c r="G100">
        <v>4107</v>
      </c>
      <c r="H100">
        <v>28749</v>
      </c>
    </row>
    <row r="101" spans="1:8" x14ac:dyDescent="0.3">
      <c r="A101" t="s">
        <v>107</v>
      </c>
      <c r="B101" t="s">
        <v>304</v>
      </c>
      <c r="C101" t="s">
        <v>387</v>
      </c>
      <c r="D101" t="s">
        <v>392</v>
      </c>
      <c r="E101" t="s">
        <v>398</v>
      </c>
      <c r="F101">
        <v>7</v>
      </c>
      <c r="G101">
        <v>4609</v>
      </c>
      <c r="H101">
        <v>32263</v>
      </c>
    </row>
    <row r="102" spans="1:8" x14ac:dyDescent="0.3">
      <c r="A102" t="s">
        <v>108</v>
      </c>
      <c r="B102" t="s">
        <v>305</v>
      </c>
      <c r="C102" t="s">
        <v>385</v>
      </c>
      <c r="D102" t="s">
        <v>391</v>
      </c>
      <c r="E102" t="s">
        <v>398</v>
      </c>
      <c r="F102">
        <v>4</v>
      </c>
      <c r="G102">
        <v>2435</v>
      </c>
      <c r="H102">
        <v>9740</v>
      </c>
    </row>
    <row r="103" spans="1:8" x14ac:dyDescent="0.3">
      <c r="A103" t="s">
        <v>109</v>
      </c>
      <c r="B103" t="s">
        <v>306</v>
      </c>
      <c r="C103" t="s">
        <v>386</v>
      </c>
      <c r="D103" t="s">
        <v>390</v>
      </c>
      <c r="E103" t="s">
        <v>398</v>
      </c>
      <c r="F103">
        <v>6</v>
      </c>
      <c r="G103">
        <v>3512</v>
      </c>
      <c r="H103">
        <v>21072</v>
      </c>
    </row>
    <row r="104" spans="1:8" x14ac:dyDescent="0.3">
      <c r="A104" t="s">
        <v>110</v>
      </c>
      <c r="B104" t="s">
        <v>307</v>
      </c>
      <c r="C104" t="s">
        <v>409</v>
      </c>
      <c r="D104" t="s">
        <v>393</v>
      </c>
      <c r="E104" t="s">
        <v>396</v>
      </c>
      <c r="F104">
        <v>10</v>
      </c>
      <c r="G104">
        <v>4575</v>
      </c>
      <c r="H104">
        <v>45750</v>
      </c>
    </row>
    <row r="105" spans="1:8" x14ac:dyDescent="0.3">
      <c r="A105" t="s">
        <v>111</v>
      </c>
      <c r="B105" t="s">
        <v>308</v>
      </c>
      <c r="C105" t="s">
        <v>384</v>
      </c>
      <c r="D105" t="s">
        <v>393</v>
      </c>
      <c r="E105" t="s">
        <v>395</v>
      </c>
      <c r="F105">
        <v>10</v>
      </c>
      <c r="G105">
        <v>422</v>
      </c>
      <c r="H105">
        <v>4220</v>
      </c>
    </row>
    <row r="106" spans="1:8" x14ac:dyDescent="0.3">
      <c r="A106" t="s">
        <v>112</v>
      </c>
      <c r="B106" t="s">
        <v>309</v>
      </c>
      <c r="C106" t="s">
        <v>383</v>
      </c>
      <c r="D106" t="s">
        <v>393</v>
      </c>
      <c r="E106" t="s">
        <v>396</v>
      </c>
      <c r="G106">
        <v>1688</v>
      </c>
      <c r="H106">
        <v>13504</v>
      </c>
    </row>
    <row r="107" spans="1:8" x14ac:dyDescent="0.3">
      <c r="A107" t="s">
        <v>113</v>
      </c>
      <c r="B107" t="s">
        <v>249</v>
      </c>
      <c r="C107" t="s">
        <v>379</v>
      </c>
      <c r="D107" t="s">
        <v>393</v>
      </c>
      <c r="E107" t="s">
        <v>394</v>
      </c>
      <c r="F107">
        <v>4</v>
      </c>
      <c r="G107">
        <v>3924</v>
      </c>
      <c r="H107">
        <v>15696</v>
      </c>
    </row>
    <row r="108" spans="1:8" x14ac:dyDescent="0.3">
      <c r="A108" t="s">
        <v>114</v>
      </c>
      <c r="B108" t="s">
        <v>285</v>
      </c>
      <c r="C108" t="s">
        <v>387</v>
      </c>
      <c r="D108" t="s">
        <v>393</v>
      </c>
      <c r="E108" t="s">
        <v>394</v>
      </c>
      <c r="F108">
        <v>7</v>
      </c>
      <c r="G108">
        <v>2266</v>
      </c>
      <c r="H108">
        <v>15862</v>
      </c>
    </row>
    <row r="109" spans="1:8" x14ac:dyDescent="0.3">
      <c r="A109" t="s">
        <v>115</v>
      </c>
      <c r="B109" t="s">
        <v>310</v>
      </c>
      <c r="C109" t="s">
        <v>386</v>
      </c>
      <c r="D109" t="s">
        <v>390</v>
      </c>
      <c r="E109" t="s">
        <v>395</v>
      </c>
      <c r="F109">
        <v>1</v>
      </c>
      <c r="G109">
        <v>3066</v>
      </c>
      <c r="H109">
        <v>3066</v>
      </c>
    </row>
    <row r="110" spans="1:8" x14ac:dyDescent="0.3">
      <c r="A110" t="s">
        <v>116</v>
      </c>
      <c r="B110" t="s">
        <v>311</v>
      </c>
      <c r="C110" t="s">
        <v>383</v>
      </c>
      <c r="D110" t="s">
        <v>390</v>
      </c>
      <c r="E110" t="s">
        <v>397</v>
      </c>
      <c r="F110">
        <v>1</v>
      </c>
      <c r="G110">
        <v>2225</v>
      </c>
      <c r="H110">
        <v>2225</v>
      </c>
    </row>
    <row r="111" spans="1:8" x14ac:dyDescent="0.3">
      <c r="A111" t="s">
        <v>117</v>
      </c>
      <c r="B111" t="s">
        <v>312</v>
      </c>
      <c r="C111" t="s">
        <v>409</v>
      </c>
      <c r="D111" t="s">
        <v>390</v>
      </c>
      <c r="E111" t="s">
        <v>395</v>
      </c>
      <c r="F111">
        <v>3</v>
      </c>
      <c r="G111">
        <v>2154</v>
      </c>
      <c r="H111">
        <v>6462</v>
      </c>
    </row>
    <row r="112" spans="1:8" x14ac:dyDescent="0.3">
      <c r="A112" t="s">
        <v>118</v>
      </c>
      <c r="B112" t="s">
        <v>313</v>
      </c>
      <c r="C112" t="s">
        <v>386</v>
      </c>
      <c r="D112" t="s">
        <v>390</v>
      </c>
      <c r="E112" t="s">
        <v>395</v>
      </c>
      <c r="F112">
        <v>4</v>
      </c>
      <c r="G112">
        <v>4009</v>
      </c>
      <c r="H112">
        <v>16036</v>
      </c>
    </row>
    <row r="113" spans="1:8" x14ac:dyDescent="0.3">
      <c r="A113" t="s">
        <v>119</v>
      </c>
      <c r="B113" t="s">
        <v>314</v>
      </c>
      <c r="C113" t="s">
        <v>385</v>
      </c>
      <c r="D113" t="s">
        <v>392</v>
      </c>
      <c r="E113" t="s">
        <v>396</v>
      </c>
      <c r="F113">
        <v>10</v>
      </c>
      <c r="G113">
        <v>1138</v>
      </c>
      <c r="H113">
        <v>11380</v>
      </c>
    </row>
    <row r="114" spans="1:8" x14ac:dyDescent="0.3">
      <c r="A114" t="s">
        <v>120</v>
      </c>
      <c r="B114" t="s">
        <v>315</v>
      </c>
      <c r="C114" t="s">
        <v>379</v>
      </c>
      <c r="D114" t="s">
        <v>390</v>
      </c>
      <c r="E114" t="s">
        <v>395</v>
      </c>
      <c r="F114">
        <v>1</v>
      </c>
      <c r="G114">
        <v>2755</v>
      </c>
      <c r="H114">
        <v>2755</v>
      </c>
    </row>
    <row r="115" spans="1:8" x14ac:dyDescent="0.3">
      <c r="A115" t="s">
        <v>121</v>
      </c>
      <c r="B115" t="s">
        <v>316</v>
      </c>
      <c r="C115" t="s">
        <v>383</v>
      </c>
      <c r="D115" t="s">
        <v>393</v>
      </c>
      <c r="E115" t="s">
        <v>398</v>
      </c>
      <c r="F115">
        <v>4</v>
      </c>
      <c r="G115">
        <v>822</v>
      </c>
      <c r="H115">
        <v>3288</v>
      </c>
    </row>
    <row r="116" spans="1:8" x14ac:dyDescent="0.3">
      <c r="A116" t="s">
        <v>122</v>
      </c>
      <c r="B116" t="s">
        <v>317</v>
      </c>
      <c r="C116" t="s">
        <v>376</v>
      </c>
      <c r="D116" t="s">
        <v>391</v>
      </c>
      <c r="E116" t="s">
        <v>397</v>
      </c>
      <c r="F116">
        <v>5</v>
      </c>
      <c r="G116">
        <v>1191</v>
      </c>
      <c r="H116">
        <v>5955</v>
      </c>
    </row>
    <row r="117" spans="1:8" x14ac:dyDescent="0.3">
      <c r="A117" t="s">
        <v>123</v>
      </c>
      <c r="B117" t="s">
        <v>318</v>
      </c>
      <c r="C117" t="s">
        <v>385</v>
      </c>
      <c r="D117" t="s">
        <v>390</v>
      </c>
      <c r="E117" t="s">
        <v>394</v>
      </c>
      <c r="F117">
        <v>9</v>
      </c>
      <c r="G117">
        <v>3709</v>
      </c>
      <c r="H117">
        <v>33381</v>
      </c>
    </row>
    <row r="118" spans="1:8" x14ac:dyDescent="0.3">
      <c r="A118" t="s">
        <v>124</v>
      </c>
      <c r="B118" t="s">
        <v>319</v>
      </c>
      <c r="C118" t="s">
        <v>375</v>
      </c>
      <c r="D118" t="s">
        <v>392</v>
      </c>
      <c r="E118" t="s">
        <v>397</v>
      </c>
      <c r="F118">
        <v>7</v>
      </c>
      <c r="G118">
        <v>4215</v>
      </c>
      <c r="H118">
        <v>29505</v>
      </c>
    </row>
    <row r="119" spans="1:8" x14ac:dyDescent="0.3">
      <c r="A119" t="s">
        <v>125</v>
      </c>
      <c r="B119" t="s">
        <v>231</v>
      </c>
      <c r="C119" t="s">
        <v>411</v>
      </c>
      <c r="D119" t="s">
        <v>392</v>
      </c>
      <c r="E119" t="s">
        <v>398</v>
      </c>
      <c r="F119">
        <v>3</v>
      </c>
      <c r="G119">
        <v>3767</v>
      </c>
      <c r="H119">
        <v>11301</v>
      </c>
    </row>
    <row r="120" spans="1:8" x14ac:dyDescent="0.3">
      <c r="A120" t="s">
        <v>126</v>
      </c>
      <c r="B120" t="s">
        <v>295</v>
      </c>
      <c r="C120" t="s">
        <v>376</v>
      </c>
      <c r="D120" t="s">
        <v>392</v>
      </c>
      <c r="E120" t="s">
        <v>395</v>
      </c>
      <c r="G120">
        <v>4160</v>
      </c>
      <c r="H120">
        <v>37440</v>
      </c>
    </row>
    <row r="121" spans="1:8" x14ac:dyDescent="0.3">
      <c r="A121" t="s">
        <v>127</v>
      </c>
      <c r="B121" t="s">
        <v>320</v>
      </c>
      <c r="C121" t="s">
        <v>411</v>
      </c>
      <c r="D121" t="s">
        <v>392</v>
      </c>
      <c r="E121" t="s">
        <v>394</v>
      </c>
      <c r="F121">
        <v>4</v>
      </c>
      <c r="G121">
        <v>909</v>
      </c>
      <c r="H121">
        <v>3636</v>
      </c>
    </row>
    <row r="122" spans="1:8" x14ac:dyDescent="0.3">
      <c r="A122" t="s">
        <v>128</v>
      </c>
      <c r="B122" t="s">
        <v>321</v>
      </c>
      <c r="C122" t="s">
        <v>384</v>
      </c>
      <c r="E122" t="s">
        <v>396</v>
      </c>
      <c r="F122">
        <v>8</v>
      </c>
      <c r="G122">
        <v>4868</v>
      </c>
      <c r="H122">
        <v>38944</v>
      </c>
    </row>
    <row r="123" spans="1:8" x14ac:dyDescent="0.3">
      <c r="A123" t="s">
        <v>129</v>
      </c>
      <c r="B123" t="s">
        <v>322</v>
      </c>
      <c r="C123" t="s">
        <v>383</v>
      </c>
      <c r="D123" t="s">
        <v>393</v>
      </c>
      <c r="E123" t="s">
        <v>394</v>
      </c>
      <c r="F123">
        <v>1</v>
      </c>
      <c r="G123">
        <v>4249</v>
      </c>
      <c r="H123">
        <v>4249</v>
      </c>
    </row>
    <row r="124" spans="1:8" x14ac:dyDescent="0.3">
      <c r="A124" t="s">
        <v>130</v>
      </c>
      <c r="B124" t="s">
        <v>323</v>
      </c>
      <c r="C124" t="s">
        <v>389</v>
      </c>
      <c r="D124" t="s">
        <v>393</v>
      </c>
      <c r="E124" t="s">
        <v>396</v>
      </c>
      <c r="F124">
        <v>6</v>
      </c>
      <c r="G124">
        <v>2316</v>
      </c>
      <c r="H124">
        <v>13896</v>
      </c>
    </row>
    <row r="125" spans="1:8" x14ac:dyDescent="0.3">
      <c r="A125" t="s">
        <v>131</v>
      </c>
      <c r="B125" t="s">
        <v>213</v>
      </c>
      <c r="C125" t="s">
        <v>379</v>
      </c>
      <c r="D125" t="s">
        <v>392</v>
      </c>
      <c r="E125" t="s">
        <v>395</v>
      </c>
      <c r="F125">
        <v>1</v>
      </c>
      <c r="G125">
        <v>4432</v>
      </c>
      <c r="H125">
        <v>4432</v>
      </c>
    </row>
    <row r="126" spans="1:8" x14ac:dyDescent="0.3">
      <c r="A126" t="s">
        <v>132</v>
      </c>
      <c r="B126" t="s">
        <v>324</v>
      </c>
      <c r="C126" t="s">
        <v>375</v>
      </c>
      <c r="D126" t="s">
        <v>391</v>
      </c>
      <c r="E126" t="s">
        <v>398</v>
      </c>
      <c r="F126">
        <v>8</v>
      </c>
      <c r="G126">
        <v>4748</v>
      </c>
      <c r="H126">
        <v>37984</v>
      </c>
    </row>
    <row r="127" spans="1:8" x14ac:dyDescent="0.3">
      <c r="A127" t="s">
        <v>133</v>
      </c>
      <c r="B127" t="s">
        <v>325</v>
      </c>
      <c r="C127" t="s">
        <v>376</v>
      </c>
      <c r="D127" t="s">
        <v>393</v>
      </c>
      <c r="E127" t="s">
        <v>398</v>
      </c>
      <c r="F127">
        <v>8</v>
      </c>
      <c r="G127">
        <v>341</v>
      </c>
      <c r="H127">
        <v>2728</v>
      </c>
    </row>
    <row r="128" spans="1:8" x14ac:dyDescent="0.3">
      <c r="A128" t="s">
        <v>134</v>
      </c>
      <c r="B128" t="s">
        <v>326</v>
      </c>
      <c r="C128" t="s">
        <v>379</v>
      </c>
      <c r="D128" t="s">
        <v>391</v>
      </c>
      <c r="E128" t="s">
        <v>398</v>
      </c>
      <c r="F128">
        <v>4</v>
      </c>
      <c r="G128">
        <v>2708</v>
      </c>
      <c r="H128" t="s">
        <v>401</v>
      </c>
    </row>
    <row r="129" spans="1:8" x14ac:dyDescent="0.3">
      <c r="A129" t="s">
        <v>135</v>
      </c>
      <c r="B129" t="s">
        <v>327</v>
      </c>
      <c r="C129" t="s">
        <v>387</v>
      </c>
      <c r="D129" t="s">
        <v>393</v>
      </c>
      <c r="E129" t="s">
        <v>395</v>
      </c>
      <c r="F129">
        <v>9</v>
      </c>
      <c r="G129">
        <v>3016</v>
      </c>
      <c r="H129">
        <v>27144</v>
      </c>
    </row>
    <row r="130" spans="1:8" x14ac:dyDescent="0.3">
      <c r="A130" t="s">
        <v>136</v>
      </c>
      <c r="B130" t="s">
        <v>328</v>
      </c>
      <c r="C130" t="s">
        <v>376</v>
      </c>
      <c r="D130" t="s">
        <v>392</v>
      </c>
      <c r="E130" t="s">
        <v>394</v>
      </c>
      <c r="F130">
        <v>8</v>
      </c>
      <c r="G130">
        <v>2419</v>
      </c>
      <c r="H130">
        <v>19352</v>
      </c>
    </row>
    <row r="131" spans="1:8" x14ac:dyDescent="0.3">
      <c r="A131" t="s">
        <v>137</v>
      </c>
      <c r="B131" t="s">
        <v>329</v>
      </c>
      <c r="C131" t="s">
        <v>379</v>
      </c>
      <c r="D131" t="s">
        <v>391</v>
      </c>
      <c r="E131" t="s">
        <v>397</v>
      </c>
      <c r="F131">
        <v>4</v>
      </c>
      <c r="G131">
        <v>2784</v>
      </c>
      <c r="H131">
        <v>11136</v>
      </c>
    </row>
    <row r="132" spans="1:8" x14ac:dyDescent="0.3">
      <c r="A132" t="s">
        <v>138</v>
      </c>
      <c r="B132" t="s">
        <v>330</v>
      </c>
      <c r="C132" t="s">
        <v>376</v>
      </c>
      <c r="D132" t="s">
        <v>391</v>
      </c>
      <c r="E132" t="s">
        <v>396</v>
      </c>
      <c r="F132">
        <v>4</v>
      </c>
      <c r="G132">
        <v>4166</v>
      </c>
      <c r="H132">
        <v>16664</v>
      </c>
    </row>
    <row r="133" spans="1:8" x14ac:dyDescent="0.3">
      <c r="A133" t="s">
        <v>139</v>
      </c>
      <c r="B133" t="s">
        <v>331</v>
      </c>
      <c r="C133" t="s">
        <v>376</v>
      </c>
      <c r="D133" t="s">
        <v>392</v>
      </c>
      <c r="E133" t="s">
        <v>397</v>
      </c>
      <c r="F133">
        <v>4</v>
      </c>
      <c r="G133">
        <v>2626</v>
      </c>
      <c r="H133">
        <v>10504</v>
      </c>
    </row>
    <row r="134" spans="1:8" x14ac:dyDescent="0.3">
      <c r="A134" t="s">
        <v>140</v>
      </c>
      <c r="B134" t="s">
        <v>332</v>
      </c>
      <c r="C134" t="s">
        <v>387</v>
      </c>
      <c r="D134" t="s">
        <v>391</v>
      </c>
      <c r="E134" t="s">
        <v>394</v>
      </c>
      <c r="F134">
        <v>1</v>
      </c>
      <c r="G134">
        <v>4575</v>
      </c>
      <c r="H134">
        <v>4575</v>
      </c>
    </row>
    <row r="135" spans="1:8" x14ac:dyDescent="0.3">
      <c r="A135" t="s">
        <v>141</v>
      </c>
      <c r="B135" t="s">
        <v>313</v>
      </c>
      <c r="C135" t="s">
        <v>379</v>
      </c>
      <c r="D135" t="s">
        <v>390</v>
      </c>
      <c r="E135" t="s">
        <v>397</v>
      </c>
      <c r="F135">
        <v>9</v>
      </c>
      <c r="G135">
        <v>2593</v>
      </c>
      <c r="H135">
        <v>23337</v>
      </c>
    </row>
    <row r="136" spans="1:8" x14ac:dyDescent="0.3">
      <c r="A136" t="s">
        <v>142</v>
      </c>
      <c r="B136" t="s">
        <v>313</v>
      </c>
      <c r="C136" t="s">
        <v>383</v>
      </c>
      <c r="D136" t="s">
        <v>393</v>
      </c>
      <c r="E136" t="s">
        <v>397</v>
      </c>
      <c r="F136">
        <v>1</v>
      </c>
      <c r="G136">
        <v>4902</v>
      </c>
      <c r="H136">
        <v>4902</v>
      </c>
    </row>
    <row r="137" spans="1:8" x14ac:dyDescent="0.3">
      <c r="A137" t="s">
        <v>143</v>
      </c>
      <c r="B137" t="s">
        <v>333</v>
      </c>
      <c r="C137" t="s">
        <v>386</v>
      </c>
      <c r="D137" t="s">
        <v>393</v>
      </c>
      <c r="E137" t="s">
        <v>398</v>
      </c>
      <c r="F137">
        <v>6</v>
      </c>
      <c r="G137">
        <v>1710</v>
      </c>
      <c r="H137">
        <v>10260</v>
      </c>
    </row>
    <row r="138" spans="1:8" x14ac:dyDescent="0.3">
      <c r="A138" t="s">
        <v>144</v>
      </c>
      <c r="B138" t="s">
        <v>266</v>
      </c>
      <c r="C138" t="s">
        <v>379</v>
      </c>
      <c r="D138" t="s">
        <v>393</v>
      </c>
      <c r="E138" t="s">
        <v>397</v>
      </c>
      <c r="F138">
        <v>2</v>
      </c>
      <c r="G138">
        <v>3482</v>
      </c>
      <c r="H138">
        <v>6964</v>
      </c>
    </row>
    <row r="139" spans="1:8" x14ac:dyDescent="0.3">
      <c r="A139" t="s">
        <v>145</v>
      </c>
      <c r="B139" t="s">
        <v>334</v>
      </c>
      <c r="C139" t="s">
        <v>375</v>
      </c>
      <c r="D139" t="s">
        <v>390</v>
      </c>
      <c r="E139" t="s">
        <v>396</v>
      </c>
      <c r="F139">
        <v>3</v>
      </c>
      <c r="G139">
        <v>4810</v>
      </c>
      <c r="H139" t="s">
        <v>402</v>
      </c>
    </row>
    <row r="140" spans="1:8" x14ac:dyDescent="0.3">
      <c r="A140" t="s">
        <v>146</v>
      </c>
      <c r="B140" t="s">
        <v>335</v>
      </c>
      <c r="C140" t="s">
        <v>375</v>
      </c>
      <c r="D140" t="s">
        <v>391</v>
      </c>
      <c r="E140" t="s">
        <v>397</v>
      </c>
      <c r="F140">
        <v>9</v>
      </c>
      <c r="G140">
        <v>3609</v>
      </c>
      <c r="H140">
        <v>32481</v>
      </c>
    </row>
    <row r="141" spans="1:8" x14ac:dyDescent="0.3">
      <c r="A141" t="s">
        <v>147</v>
      </c>
      <c r="B141" t="s">
        <v>281</v>
      </c>
      <c r="C141" t="s">
        <v>408</v>
      </c>
      <c r="D141" t="s">
        <v>391</v>
      </c>
      <c r="E141" t="s">
        <v>395</v>
      </c>
      <c r="F141">
        <v>7</v>
      </c>
      <c r="G141">
        <v>3890</v>
      </c>
      <c r="H141">
        <v>27230</v>
      </c>
    </row>
    <row r="142" spans="1:8" x14ac:dyDescent="0.3">
      <c r="A142" t="s">
        <v>148</v>
      </c>
      <c r="B142" t="s">
        <v>336</v>
      </c>
      <c r="C142" t="s">
        <v>379</v>
      </c>
      <c r="D142" t="s">
        <v>393</v>
      </c>
      <c r="E142" t="s">
        <v>394</v>
      </c>
      <c r="F142">
        <v>10</v>
      </c>
      <c r="G142">
        <v>693</v>
      </c>
      <c r="H142">
        <v>6930</v>
      </c>
    </row>
    <row r="143" spans="1:8" x14ac:dyDescent="0.3">
      <c r="A143" t="s">
        <v>149</v>
      </c>
      <c r="B143" t="s">
        <v>322</v>
      </c>
      <c r="C143" t="s">
        <v>376</v>
      </c>
      <c r="D143" t="s">
        <v>390</v>
      </c>
      <c r="E143" t="s">
        <v>396</v>
      </c>
      <c r="F143">
        <v>4</v>
      </c>
      <c r="G143">
        <v>2367</v>
      </c>
      <c r="H143">
        <v>9468</v>
      </c>
    </row>
    <row r="144" spans="1:8" x14ac:dyDescent="0.3">
      <c r="A144" t="s">
        <v>150</v>
      </c>
      <c r="B144" t="s">
        <v>310</v>
      </c>
      <c r="C144" t="s">
        <v>389</v>
      </c>
      <c r="D144" t="s">
        <v>391</v>
      </c>
      <c r="E144" t="s">
        <v>396</v>
      </c>
      <c r="F144">
        <v>9</v>
      </c>
      <c r="G144">
        <v>814</v>
      </c>
      <c r="H144">
        <v>7326</v>
      </c>
    </row>
    <row r="145" spans="1:8" x14ac:dyDescent="0.3">
      <c r="A145" t="s">
        <v>151</v>
      </c>
      <c r="B145" t="s">
        <v>337</v>
      </c>
      <c r="C145" t="s">
        <v>377</v>
      </c>
      <c r="E145" t="s">
        <v>398</v>
      </c>
      <c r="F145">
        <v>10</v>
      </c>
      <c r="G145">
        <v>4049</v>
      </c>
      <c r="H145">
        <v>40490</v>
      </c>
    </row>
    <row r="146" spans="1:8" x14ac:dyDescent="0.3">
      <c r="A146" t="s">
        <v>152</v>
      </c>
      <c r="B146" t="s">
        <v>338</v>
      </c>
      <c r="C146" t="s">
        <v>377</v>
      </c>
      <c r="D146" t="s">
        <v>391</v>
      </c>
      <c r="E146" t="s">
        <v>394</v>
      </c>
      <c r="F146">
        <v>5</v>
      </c>
      <c r="G146">
        <v>3919</v>
      </c>
      <c r="H146">
        <v>19595</v>
      </c>
    </row>
    <row r="147" spans="1:8" x14ac:dyDescent="0.3">
      <c r="A147" t="s">
        <v>153</v>
      </c>
      <c r="B147" t="s">
        <v>241</v>
      </c>
      <c r="C147" t="s">
        <v>383</v>
      </c>
      <c r="D147" t="s">
        <v>391</v>
      </c>
      <c r="E147" t="s">
        <v>394</v>
      </c>
      <c r="F147">
        <v>10</v>
      </c>
      <c r="G147">
        <v>1820</v>
      </c>
      <c r="H147">
        <v>18200</v>
      </c>
    </row>
    <row r="148" spans="1:8" x14ac:dyDescent="0.3">
      <c r="A148" t="s">
        <v>154</v>
      </c>
      <c r="B148" t="s">
        <v>328</v>
      </c>
      <c r="C148" t="s">
        <v>375</v>
      </c>
      <c r="D148" t="s">
        <v>391</v>
      </c>
      <c r="E148" t="s">
        <v>396</v>
      </c>
      <c r="F148">
        <v>5</v>
      </c>
      <c r="G148">
        <v>1365</v>
      </c>
      <c r="H148">
        <v>6825</v>
      </c>
    </row>
    <row r="149" spans="1:8" x14ac:dyDescent="0.3">
      <c r="A149" t="s">
        <v>155</v>
      </c>
      <c r="B149" t="s">
        <v>339</v>
      </c>
      <c r="C149" t="s">
        <v>377</v>
      </c>
      <c r="D149" t="s">
        <v>391</v>
      </c>
      <c r="E149" t="s">
        <v>394</v>
      </c>
      <c r="F149">
        <v>10</v>
      </c>
      <c r="G149">
        <v>4862</v>
      </c>
      <c r="H149">
        <v>48620</v>
      </c>
    </row>
    <row r="150" spans="1:8" x14ac:dyDescent="0.3">
      <c r="A150" t="s">
        <v>156</v>
      </c>
      <c r="B150" t="s">
        <v>340</v>
      </c>
      <c r="C150" t="s">
        <v>386</v>
      </c>
      <c r="D150" t="s">
        <v>390</v>
      </c>
      <c r="E150" t="s">
        <v>398</v>
      </c>
      <c r="F150">
        <v>5</v>
      </c>
      <c r="G150">
        <v>3497</v>
      </c>
      <c r="H150">
        <v>17485</v>
      </c>
    </row>
    <row r="151" spans="1:8" x14ac:dyDescent="0.3">
      <c r="A151" t="s">
        <v>157</v>
      </c>
      <c r="B151" t="s">
        <v>341</v>
      </c>
      <c r="C151" t="s">
        <v>381</v>
      </c>
      <c r="D151" t="s">
        <v>393</v>
      </c>
      <c r="E151" t="s">
        <v>398</v>
      </c>
      <c r="F151">
        <v>2</v>
      </c>
      <c r="G151">
        <v>526</v>
      </c>
      <c r="H151">
        <v>1052</v>
      </c>
    </row>
    <row r="152" spans="1:8" x14ac:dyDescent="0.3">
      <c r="A152" t="s">
        <v>158</v>
      </c>
      <c r="B152" t="s">
        <v>342</v>
      </c>
      <c r="C152" t="s">
        <v>376</v>
      </c>
      <c r="D152" t="s">
        <v>392</v>
      </c>
      <c r="E152" t="s">
        <v>395</v>
      </c>
      <c r="F152">
        <v>5</v>
      </c>
      <c r="G152">
        <v>411</v>
      </c>
      <c r="H152">
        <v>2055</v>
      </c>
    </row>
    <row r="153" spans="1:8" x14ac:dyDescent="0.3">
      <c r="A153" t="s">
        <v>159</v>
      </c>
      <c r="B153" t="s">
        <v>227</v>
      </c>
      <c r="C153" t="s">
        <v>388</v>
      </c>
      <c r="D153" t="s">
        <v>390</v>
      </c>
      <c r="E153" t="s">
        <v>394</v>
      </c>
      <c r="F153">
        <v>10</v>
      </c>
      <c r="G153">
        <v>529</v>
      </c>
      <c r="H153">
        <v>5290</v>
      </c>
    </row>
    <row r="154" spans="1:8" x14ac:dyDescent="0.3">
      <c r="A154" t="s">
        <v>160</v>
      </c>
      <c r="B154" t="s">
        <v>343</v>
      </c>
      <c r="C154" t="s">
        <v>386</v>
      </c>
      <c r="D154" t="s">
        <v>393</v>
      </c>
      <c r="E154" t="s">
        <v>394</v>
      </c>
      <c r="F154">
        <v>3</v>
      </c>
      <c r="G154">
        <v>4995</v>
      </c>
      <c r="H154">
        <v>14985</v>
      </c>
    </row>
    <row r="155" spans="1:8" x14ac:dyDescent="0.3">
      <c r="A155" t="s">
        <v>161</v>
      </c>
      <c r="B155" t="s">
        <v>306</v>
      </c>
      <c r="C155" t="s">
        <v>383</v>
      </c>
      <c r="D155" t="s">
        <v>393</v>
      </c>
      <c r="E155" t="s">
        <v>397</v>
      </c>
      <c r="F155">
        <v>8</v>
      </c>
      <c r="G155">
        <v>3050</v>
      </c>
      <c r="H155">
        <v>24400</v>
      </c>
    </row>
    <row r="156" spans="1:8" x14ac:dyDescent="0.3">
      <c r="A156" t="s">
        <v>162</v>
      </c>
      <c r="B156" t="s">
        <v>344</v>
      </c>
      <c r="C156" t="s">
        <v>387</v>
      </c>
      <c r="D156" t="s">
        <v>392</v>
      </c>
      <c r="E156" t="s">
        <v>397</v>
      </c>
      <c r="F156">
        <v>3</v>
      </c>
      <c r="G156">
        <v>2901</v>
      </c>
      <c r="H156">
        <v>8703</v>
      </c>
    </row>
    <row r="157" spans="1:8" x14ac:dyDescent="0.3">
      <c r="A157" t="s">
        <v>163</v>
      </c>
      <c r="B157" t="s">
        <v>345</v>
      </c>
      <c r="C157" t="s">
        <v>376</v>
      </c>
      <c r="D157" t="s">
        <v>393</v>
      </c>
      <c r="E157" t="s">
        <v>394</v>
      </c>
      <c r="F157">
        <v>7</v>
      </c>
      <c r="G157">
        <v>4706</v>
      </c>
      <c r="H157">
        <v>32942</v>
      </c>
    </row>
    <row r="158" spans="1:8" x14ac:dyDescent="0.3">
      <c r="A158" t="s">
        <v>164</v>
      </c>
      <c r="B158" t="s">
        <v>346</v>
      </c>
      <c r="C158" t="s">
        <v>386</v>
      </c>
      <c r="D158" t="s">
        <v>390</v>
      </c>
      <c r="F158">
        <v>5</v>
      </c>
      <c r="G158">
        <v>2848</v>
      </c>
      <c r="H158">
        <v>14240</v>
      </c>
    </row>
    <row r="159" spans="1:8" x14ac:dyDescent="0.3">
      <c r="A159" t="s">
        <v>165</v>
      </c>
      <c r="B159" t="s">
        <v>279</v>
      </c>
      <c r="C159" t="s">
        <v>385</v>
      </c>
      <c r="D159" t="s">
        <v>393</v>
      </c>
      <c r="E159" t="s">
        <v>395</v>
      </c>
      <c r="F159">
        <v>1</v>
      </c>
      <c r="G159">
        <v>4644</v>
      </c>
      <c r="H159">
        <v>4644</v>
      </c>
    </row>
    <row r="160" spans="1:8" x14ac:dyDescent="0.3">
      <c r="A160" t="s">
        <v>166</v>
      </c>
      <c r="B160" t="s">
        <v>248</v>
      </c>
      <c r="C160" t="s">
        <v>411</v>
      </c>
      <c r="E160" t="s">
        <v>396</v>
      </c>
      <c r="F160">
        <v>9</v>
      </c>
      <c r="G160">
        <v>3163</v>
      </c>
      <c r="H160">
        <v>28467</v>
      </c>
    </row>
    <row r="161" spans="1:8" x14ac:dyDescent="0.3">
      <c r="A161" t="s">
        <v>167</v>
      </c>
      <c r="B161" t="s">
        <v>347</v>
      </c>
      <c r="C161" t="s">
        <v>385</v>
      </c>
      <c r="D161" t="s">
        <v>393</v>
      </c>
      <c r="E161" t="s">
        <v>398</v>
      </c>
      <c r="F161">
        <v>1</v>
      </c>
      <c r="G161">
        <v>1867</v>
      </c>
      <c r="H161">
        <v>1867</v>
      </c>
    </row>
    <row r="162" spans="1:8" x14ac:dyDescent="0.3">
      <c r="A162" t="s">
        <v>168</v>
      </c>
      <c r="B162" t="s">
        <v>348</v>
      </c>
      <c r="C162" t="s">
        <v>381</v>
      </c>
      <c r="D162" t="s">
        <v>391</v>
      </c>
      <c r="E162" t="s">
        <v>394</v>
      </c>
      <c r="F162">
        <v>8</v>
      </c>
      <c r="G162">
        <v>4170</v>
      </c>
      <c r="H162">
        <v>33360</v>
      </c>
    </row>
    <row r="163" spans="1:8" x14ac:dyDescent="0.3">
      <c r="A163" t="s">
        <v>169</v>
      </c>
      <c r="B163" t="s">
        <v>296</v>
      </c>
      <c r="C163" t="s">
        <v>377</v>
      </c>
      <c r="D163" t="s">
        <v>391</v>
      </c>
      <c r="E163" t="s">
        <v>396</v>
      </c>
      <c r="F163">
        <v>5</v>
      </c>
      <c r="G163">
        <v>4712</v>
      </c>
      <c r="H163">
        <v>23560</v>
      </c>
    </row>
    <row r="164" spans="1:8" x14ac:dyDescent="0.3">
      <c r="A164" t="s">
        <v>170</v>
      </c>
      <c r="B164" t="s">
        <v>349</v>
      </c>
      <c r="C164" t="s">
        <v>381</v>
      </c>
      <c r="D164" t="s">
        <v>393</v>
      </c>
      <c r="F164">
        <v>4</v>
      </c>
      <c r="G164">
        <v>1129</v>
      </c>
      <c r="H164">
        <v>4516</v>
      </c>
    </row>
    <row r="165" spans="1:8" x14ac:dyDescent="0.3">
      <c r="A165" t="s">
        <v>171</v>
      </c>
      <c r="B165" t="s">
        <v>350</v>
      </c>
      <c r="D165" t="s">
        <v>391</v>
      </c>
      <c r="E165" t="s">
        <v>398</v>
      </c>
      <c r="F165">
        <v>5</v>
      </c>
      <c r="G165">
        <v>4368</v>
      </c>
      <c r="H165">
        <v>21840</v>
      </c>
    </row>
    <row r="166" spans="1:8" x14ac:dyDescent="0.3">
      <c r="A166" t="s">
        <v>172</v>
      </c>
      <c r="B166" t="s">
        <v>351</v>
      </c>
      <c r="C166" t="s">
        <v>411</v>
      </c>
      <c r="D166" t="s">
        <v>393</v>
      </c>
      <c r="E166" t="s">
        <v>398</v>
      </c>
      <c r="F166">
        <v>4</v>
      </c>
      <c r="G166">
        <v>3941</v>
      </c>
      <c r="H166">
        <v>15764</v>
      </c>
    </row>
    <row r="167" spans="1:8" x14ac:dyDescent="0.3">
      <c r="A167" t="s">
        <v>173</v>
      </c>
      <c r="B167" t="s">
        <v>268</v>
      </c>
      <c r="C167" t="s">
        <v>389</v>
      </c>
      <c r="D167" t="s">
        <v>393</v>
      </c>
      <c r="F167">
        <v>10</v>
      </c>
      <c r="G167">
        <v>4363</v>
      </c>
      <c r="H167">
        <v>43630</v>
      </c>
    </row>
    <row r="168" spans="1:8" x14ac:dyDescent="0.3">
      <c r="A168" t="s">
        <v>174</v>
      </c>
      <c r="B168" t="s">
        <v>352</v>
      </c>
      <c r="C168" t="s">
        <v>409</v>
      </c>
      <c r="D168" t="s">
        <v>390</v>
      </c>
      <c r="E168" t="s">
        <v>394</v>
      </c>
      <c r="G168">
        <v>2984</v>
      </c>
      <c r="H168">
        <v>20888</v>
      </c>
    </row>
    <row r="169" spans="1:8" x14ac:dyDescent="0.3">
      <c r="A169" t="s">
        <v>175</v>
      </c>
      <c r="B169" t="s">
        <v>353</v>
      </c>
      <c r="C169" t="s">
        <v>379</v>
      </c>
      <c r="D169" t="s">
        <v>390</v>
      </c>
      <c r="E169" t="s">
        <v>394</v>
      </c>
      <c r="F169">
        <v>5</v>
      </c>
      <c r="G169">
        <v>4950</v>
      </c>
      <c r="H169">
        <v>24750</v>
      </c>
    </row>
    <row r="170" spans="1:8" x14ac:dyDescent="0.3">
      <c r="A170" t="s">
        <v>176</v>
      </c>
      <c r="B170" t="s">
        <v>354</v>
      </c>
      <c r="C170" t="s">
        <v>409</v>
      </c>
      <c r="D170" t="s">
        <v>391</v>
      </c>
      <c r="E170" t="s">
        <v>398</v>
      </c>
      <c r="F170">
        <v>9</v>
      </c>
      <c r="G170">
        <v>4167</v>
      </c>
      <c r="H170">
        <v>37503</v>
      </c>
    </row>
    <row r="171" spans="1:8" x14ac:dyDescent="0.3">
      <c r="A171" t="s">
        <v>177</v>
      </c>
      <c r="B171" t="s">
        <v>355</v>
      </c>
      <c r="C171" t="s">
        <v>387</v>
      </c>
      <c r="D171" t="s">
        <v>393</v>
      </c>
      <c r="E171" t="s">
        <v>398</v>
      </c>
      <c r="F171">
        <v>6</v>
      </c>
      <c r="G171">
        <v>1745</v>
      </c>
      <c r="H171">
        <v>10470</v>
      </c>
    </row>
    <row r="172" spans="1:8" x14ac:dyDescent="0.3">
      <c r="A172" t="s">
        <v>178</v>
      </c>
      <c r="B172" t="s">
        <v>258</v>
      </c>
      <c r="C172" t="s">
        <v>408</v>
      </c>
      <c r="D172" t="s">
        <v>393</v>
      </c>
      <c r="E172" t="s">
        <v>396</v>
      </c>
      <c r="F172">
        <v>7</v>
      </c>
      <c r="G172">
        <v>557</v>
      </c>
      <c r="H172">
        <v>3899</v>
      </c>
    </row>
    <row r="173" spans="1:8" x14ac:dyDescent="0.3">
      <c r="A173" t="s">
        <v>179</v>
      </c>
      <c r="B173" t="s">
        <v>356</v>
      </c>
      <c r="C173" t="s">
        <v>376</v>
      </c>
      <c r="D173" t="s">
        <v>393</v>
      </c>
      <c r="E173" t="s">
        <v>398</v>
      </c>
      <c r="F173">
        <v>7</v>
      </c>
      <c r="G173">
        <v>1446</v>
      </c>
      <c r="H173">
        <v>10122</v>
      </c>
    </row>
    <row r="174" spans="1:8" x14ac:dyDescent="0.3">
      <c r="A174" t="s">
        <v>180</v>
      </c>
      <c r="B174" t="s">
        <v>357</v>
      </c>
      <c r="D174" t="s">
        <v>391</v>
      </c>
      <c r="E174" t="s">
        <v>395</v>
      </c>
      <c r="F174">
        <v>10</v>
      </c>
      <c r="G174">
        <v>2919</v>
      </c>
      <c r="H174">
        <v>29190</v>
      </c>
    </row>
    <row r="175" spans="1:8" x14ac:dyDescent="0.3">
      <c r="A175" t="s">
        <v>181</v>
      </c>
      <c r="B175" t="s">
        <v>260</v>
      </c>
      <c r="C175" t="s">
        <v>409</v>
      </c>
      <c r="D175" t="s">
        <v>393</v>
      </c>
      <c r="E175" t="s">
        <v>397</v>
      </c>
      <c r="F175">
        <v>9</v>
      </c>
      <c r="G175">
        <v>3943</v>
      </c>
      <c r="H175">
        <v>35487</v>
      </c>
    </row>
    <row r="176" spans="1:8" x14ac:dyDescent="0.3">
      <c r="A176" t="s">
        <v>182</v>
      </c>
      <c r="B176" t="s">
        <v>358</v>
      </c>
      <c r="C176" t="s">
        <v>376</v>
      </c>
      <c r="D176" t="s">
        <v>391</v>
      </c>
      <c r="E176" t="s">
        <v>398</v>
      </c>
      <c r="F176">
        <v>3</v>
      </c>
      <c r="G176">
        <v>812</v>
      </c>
      <c r="H176">
        <v>2436</v>
      </c>
    </row>
    <row r="177" spans="1:8" x14ac:dyDescent="0.3">
      <c r="A177" t="s">
        <v>183</v>
      </c>
      <c r="B177" t="s">
        <v>359</v>
      </c>
      <c r="C177" t="s">
        <v>385</v>
      </c>
      <c r="D177" t="s">
        <v>392</v>
      </c>
      <c r="E177" t="s">
        <v>394</v>
      </c>
      <c r="F177">
        <v>10</v>
      </c>
      <c r="G177">
        <v>3456</v>
      </c>
      <c r="H177">
        <v>34560</v>
      </c>
    </row>
    <row r="178" spans="1:8" x14ac:dyDescent="0.3">
      <c r="A178" t="s">
        <v>184</v>
      </c>
      <c r="B178" t="s">
        <v>360</v>
      </c>
      <c r="C178" t="s">
        <v>375</v>
      </c>
      <c r="D178" t="s">
        <v>392</v>
      </c>
      <c r="E178" t="s">
        <v>395</v>
      </c>
      <c r="F178">
        <v>7</v>
      </c>
      <c r="G178">
        <v>2794</v>
      </c>
      <c r="H178">
        <v>19558</v>
      </c>
    </row>
    <row r="179" spans="1:8" x14ac:dyDescent="0.3">
      <c r="A179" t="s">
        <v>185</v>
      </c>
      <c r="B179" t="s">
        <v>361</v>
      </c>
      <c r="C179" t="s">
        <v>376</v>
      </c>
      <c r="D179" t="s">
        <v>393</v>
      </c>
      <c r="E179" t="s">
        <v>395</v>
      </c>
      <c r="F179">
        <v>1</v>
      </c>
      <c r="G179">
        <v>760</v>
      </c>
      <c r="H179">
        <v>760</v>
      </c>
    </row>
    <row r="180" spans="1:8" x14ac:dyDescent="0.3">
      <c r="A180" t="s">
        <v>186</v>
      </c>
      <c r="B180" t="s">
        <v>362</v>
      </c>
      <c r="C180" t="s">
        <v>383</v>
      </c>
      <c r="D180" t="s">
        <v>392</v>
      </c>
      <c r="E180" t="s">
        <v>396</v>
      </c>
      <c r="F180">
        <v>2</v>
      </c>
      <c r="G180">
        <v>3755</v>
      </c>
      <c r="H180">
        <v>7510</v>
      </c>
    </row>
    <row r="181" spans="1:8" x14ac:dyDescent="0.3">
      <c r="A181" t="s">
        <v>187</v>
      </c>
      <c r="B181" t="s">
        <v>363</v>
      </c>
      <c r="C181" t="s">
        <v>385</v>
      </c>
      <c r="D181" t="s">
        <v>390</v>
      </c>
      <c r="E181" t="s">
        <v>398</v>
      </c>
      <c r="G181">
        <v>2653</v>
      </c>
      <c r="H181">
        <v>7959</v>
      </c>
    </row>
    <row r="182" spans="1:8" x14ac:dyDescent="0.3">
      <c r="A182" t="s">
        <v>188</v>
      </c>
      <c r="B182" t="s">
        <v>364</v>
      </c>
      <c r="C182" t="s">
        <v>377</v>
      </c>
      <c r="D182" t="s">
        <v>392</v>
      </c>
      <c r="E182" t="s">
        <v>397</v>
      </c>
      <c r="F182">
        <v>5</v>
      </c>
      <c r="G182">
        <v>3136</v>
      </c>
      <c r="H182">
        <v>15680</v>
      </c>
    </row>
    <row r="183" spans="1:8" x14ac:dyDescent="0.3">
      <c r="A183" t="s">
        <v>189</v>
      </c>
      <c r="B183" t="s">
        <v>365</v>
      </c>
      <c r="C183" t="s">
        <v>411</v>
      </c>
      <c r="D183" t="s">
        <v>391</v>
      </c>
      <c r="E183" t="s">
        <v>396</v>
      </c>
      <c r="F183">
        <v>9</v>
      </c>
      <c r="G183">
        <v>3575</v>
      </c>
      <c r="H183">
        <v>32175</v>
      </c>
    </row>
    <row r="184" spans="1:8" x14ac:dyDescent="0.3">
      <c r="A184" t="s">
        <v>190</v>
      </c>
      <c r="B184" t="s">
        <v>318</v>
      </c>
      <c r="C184" t="s">
        <v>383</v>
      </c>
      <c r="D184" t="s">
        <v>391</v>
      </c>
      <c r="E184" t="s">
        <v>396</v>
      </c>
      <c r="F184">
        <v>3</v>
      </c>
      <c r="G184">
        <v>846</v>
      </c>
      <c r="H184">
        <v>2538</v>
      </c>
    </row>
    <row r="185" spans="1:8" x14ac:dyDescent="0.3">
      <c r="A185" t="s">
        <v>191</v>
      </c>
      <c r="B185" t="s">
        <v>322</v>
      </c>
      <c r="C185" t="s">
        <v>409</v>
      </c>
      <c r="D185" t="s">
        <v>393</v>
      </c>
      <c r="E185" t="s">
        <v>395</v>
      </c>
      <c r="F185">
        <v>4</v>
      </c>
      <c r="G185">
        <v>4276</v>
      </c>
      <c r="H185">
        <v>17104</v>
      </c>
    </row>
    <row r="186" spans="1:8" x14ac:dyDescent="0.3">
      <c r="A186" t="s">
        <v>192</v>
      </c>
      <c r="B186" t="s">
        <v>257</v>
      </c>
      <c r="C186" t="s">
        <v>389</v>
      </c>
      <c r="D186" t="s">
        <v>391</v>
      </c>
      <c r="E186" t="s">
        <v>398</v>
      </c>
      <c r="F186">
        <v>5</v>
      </c>
      <c r="G186">
        <v>3964</v>
      </c>
      <c r="H186">
        <v>19820</v>
      </c>
    </row>
    <row r="187" spans="1:8" x14ac:dyDescent="0.3">
      <c r="A187" t="s">
        <v>193</v>
      </c>
      <c r="B187" t="s">
        <v>366</v>
      </c>
      <c r="C187" t="s">
        <v>383</v>
      </c>
      <c r="D187" t="s">
        <v>390</v>
      </c>
      <c r="E187" t="s">
        <v>398</v>
      </c>
      <c r="F187">
        <v>5</v>
      </c>
      <c r="G187">
        <v>4677</v>
      </c>
      <c r="H187">
        <v>23385</v>
      </c>
    </row>
    <row r="188" spans="1:8" x14ac:dyDescent="0.3">
      <c r="A188" t="s">
        <v>194</v>
      </c>
      <c r="B188" t="s">
        <v>262</v>
      </c>
      <c r="C188" t="s">
        <v>375</v>
      </c>
      <c r="D188" t="s">
        <v>393</v>
      </c>
      <c r="E188" t="s">
        <v>394</v>
      </c>
      <c r="F188">
        <v>10</v>
      </c>
      <c r="G188">
        <v>2650</v>
      </c>
      <c r="H188">
        <v>26500</v>
      </c>
    </row>
    <row r="189" spans="1:8" x14ac:dyDescent="0.3">
      <c r="A189" t="s">
        <v>195</v>
      </c>
      <c r="B189" t="s">
        <v>208</v>
      </c>
      <c r="C189" t="s">
        <v>411</v>
      </c>
      <c r="D189" t="s">
        <v>392</v>
      </c>
      <c r="E189" t="s">
        <v>398</v>
      </c>
      <c r="F189">
        <v>5</v>
      </c>
      <c r="G189">
        <v>1831</v>
      </c>
      <c r="H189">
        <v>9155</v>
      </c>
    </row>
    <row r="190" spans="1:8" x14ac:dyDescent="0.3">
      <c r="A190" t="s">
        <v>196</v>
      </c>
      <c r="B190" t="s">
        <v>367</v>
      </c>
      <c r="C190" t="s">
        <v>409</v>
      </c>
      <c r="D190" t="s">
        <v>393</v>
      </c>
      <c r="E190" t="s">
        <v>397</v>
      </c>
      <c r="F190">
        <v>4</v>
      </c>
      <c r="G190">
        <v>3324</v>
      </c>
      <c r="H190">
        <v>13296</v>
      </c>
    </row>
    <row r="191" spans="1:8" x14ac:dyDescent="0.3">
      <c r="A191" t="s">
        <v>197</v>
      </c>
      <c r="B191" t="s">
        <v>368</v>
      </c>
      <c r="C191" t="s">
        <v>387</v>
      </c>
      <c r="D191" t="s">
        <v>392</v>
      </c>
      <c r="E191" t="s">
        <v>394</v>
      </c>
      <c r="F191">
        <v>1</v>
      </c>
      <c r="G191">
        <v>3442</v>
      </c>
      <c r="H191">
        <v>3442</v>
      </c>
    </row>
    <row r="192" spans="1:8" x14ac:dyDescent="0.3">
      <c r="A192" t="s">
        <v>198</v>
      </c>
      <c r="B192" t="s">
        <v>300</v>
      </c>
      <c r="C192" t="s">
        <v>377</v>
      </c>
      <c r="D192" t="s">
        <v>390</v>
      </c>
      <c r="E192" t="s">
        <v>395</v>
      </c>
      <c r="F192">
        <v>8</v>
      </c>
      <c r="G192">
        <v>2544</v>
      </c>
      <c r="H192">
        <v>20352</v>
      </c>
    </row>
    <row r="193" spans="1:8" x14ac:dyDescent="0.3">
      <c r="A193" t="s">
        <v>199</v>
      </c>
      <c r="B193" t="s">
        <v>369</v>
      </c>
      <c r="C193" t="s">
        <v>408</v>
      </c>
      <c r="D193" t="s">
        <v>392</v>
      </c>
      <c r="E193" t="s">
        <v>396</v>
      </c>
      <c r="F193">
        <v>4</v>
      </c>
      <c r="G193">
        <v>2253</v>
      </c>
      <c r="H193">
        <v>9012</v>
      </c>
    </row>
    <row r="194" spans="1:8" x14ac:dyDescent="0.3">
      <c r="A194" t="s">
        <v>200</v>
      </c>
      <c r="B194" t="s">
        <v>370</v>
      </c>
      <c r="C194" t="s">
        <v>383</v>
      </c>
      <c r="D194" t="s">
        <v>390</v>
      </c>
      <c r="E194" t="s">
        <v>397</v>
      </c>
      <c r="F194">
        <v>5</v>
      </c>
      <c r="G194">
        <v>3811</v>
      </c>
      <c r="H194">
        <v>19055</v>
      </c>
    </row>
    <row r="195" spans="1:8" x14ac:dyDescent="0.3">
      <c r="A195" t="s">
        <v>201</v>
      </c>
      <c r="B195" t="s">
        <v>371</v>
      </c>
      <c r="C195" t="s">
        <v>408</v>
      </c>
      <c r="D195" t="s">
        <v>392</v>
      </c>
      <c r="E195" t="s">
        <v>396</v>
      </c>
      <c r="F195">
        <v>2</v>
      </c>
      <c r="G195">
        <v>2617</v>
      </c>
      <c r="H195">
        <v>5234</v>
      </c>
    </row>
    <row r="196" spans="1:8" x14ac:dyDescent="0.3">
      <c r="A196" t="s">
        <v>202</v>
      </c>
      <c r="B196" t="s">
        <v>285</v>
      </c>
      <c r="C196" t="s">
        <v>376</v>
      </c>
      <c r="D196" t="s">
        <v>393</v>
      </c>
      <c r="E196" t="s">
        <v>396</v>
      </c>
      <c r="F196">
        <v>4</v>
      </c>
      <c r="G196">
        <v>1282</v>
      </c>
      <c r="H196">
        <v>5128</v>
      </c>
    </row>
    <row r="197" spans="1:8" x14ac:dyDescent="0.3">
      <c r="A197" t="s">
        <v>203</v>
      </c>
      <c r="B197" t="s">
        <v>243</v>
      </c>
      <c r="C197" t="s">
        <v>384</v>
      </c>
      <c r="D197" t="s">
        <v>392</v>
      </c>
      <c r="E197" t="s">
        <v>395</v>
      </c>
      <c r="F197">
        <v>9</v>
      </c>
      <c r="G197">
        <v>2432</v>
      </c>
      <c r="H197">
        <v>21888</v>
      </c>
    </row>
    <row r="198" spans="1:8" x14ac:dyDescent="0.3">
      <c r="A198" t="s">
        <v>204</v>
      </c>
      <c r="B198" t="s">
        <v>251</v>
      </c>
      <c r="C198" t="s">
        <v>379</v>
      </c>
      <c r="D198" t="s">
        <v>393</v>
      </c>
      <c r="E198" t="s">
        <v>394</v>
      </c>
      <c r="F198">
        <v>6</v>
      </c>
      <c r="G198">
        <v>1143</v>
      </c>
      <c r="H198">
        <v>6858</v>
      </c>
    </row>
    <row r="199" spans="1:8" x14ac:dyDescent="0.3">
      <c r="A199" t="s">
        <v>205</v>
      </c>
      <c r="B199" t="s">
        <v>372</v>
      </c>
      <c r="C199" t="s">
        <v>375</v>
      </c>
      <c r="D199" t="s">
        <v>391</v>
      </c>
      <c r="E199" t="s">
        <v>396</v>
      </c>
      <c r="F199">
        <v>7</v>
      </c>
      <c r="G199">
        <v>4765</v>
      </c>
      <c r="H199">
        <v>33355</v>
      </c>
    </row>
    <row r="200" spans="1:8" x14ac:dyDescent="0.3">
      <c r="A200" t="s">
        <v>206</v>
      </c>
      <c r="B200" t="s">
        <v>373</v>
      </c>
      <c r="C200" t="s">
        <v>375</v>
      </c>
      <c r="D200" t="s">
        <v>393</v>
      </c>
      <c r="E200" t="s">
        <v>397</v>
      </c>
      <c r="F200">
        <v>5</v>
      </c>
      <c r="G200">
        <v>4595</v>
      </c>
      <c r="H200">
        <v>22975</v>
      </c>
    </row>
    <row r="201" spans="1:8" x14ac:dyDescent="0.3">
      <c r="A201" t="s">
        <v>207</v>
      </c>
      <c r="B201" t="s">
        <v>374</v>
      </c>
      <c r="C201" t="s">
        <v>386</v>
      </c>
      <c r="D201" t="s">
        <v>392</v>
      </c>
      <c r="E201" t="s">
        <v>394</v>
      </c>
      <c r="F201">
        <v>10</v>
      </c>
      <c r="G201">
        <v>3321</v>
      </c>
      <c r="H201">
        <v>33210</v>
      </c>
    </row>
    <row r="202" spans="1:8" x14ac:dyDescent="0.3">
      <c r="A202" t="s">
        <v>66</v>
      </c>
      <c r="B202" t="s">
        <v>264</v>
      </c>
      <c r="C202" t="s">
        <v>376</v>
      </c>
      <c r="D202" t="s">
        <v>391</v>
      </c>
      <c r="E202" t="s">
        <v>394</v>
      </c>
      <c r="F202">
        <v>5</v>
      </c>
      <c r="G202">
        <v>1925</v>
      </c>
      <c r="H202">
        <v>9625</v>
      </c>
    </row>
    <row r="203" spans="1:8" x14ac:dyDescent="0.3">
      <c r="A203" t="s">
        <v>48</v>
      </c>
      <c r="B203" t="s">
        <v>246</v>
      </c>
      <c r="C203" t="s">
        <v>385</v>
      </c>
      <c r="D203" t="s">
        <v>390</v>
      </c>
      <c r="E203" t="s">
        <v>396</v>
      </c>
      <c r="F203">
        <v>4</v>
      </c>
      <c r="G203">
        <v>1758</v>
      </c>
      <c r="H203">
        <v>7032</v>
      </c>
    </row>
    <row r="204" spans="1:8" x14ac:dyDescent="0.3">
      <c r="A204" t="s">
        <v>42</v>
      </c>
      <c r="B204" t="s">
        <v>240</v>
      </c>
      <c r="C204" t="s">
        <v>381</v>
      </c>
      <c r="D204" t="s">
        <v>391</v>
      </c>
      <c r="E204" t="s">
        <v>395</v>
      </c>
      <c r="F204">
        <v>4</v>
      </c>
      <c r="G204">
        <v>258</v>
      </c>
      <c r="H204">
        <v>1032</v>
      </c>
    </row>
    <row r="205" spans="1:8" x14ac:dyDescent="0.3">
      <c r="A205" t="s">
        <v>110</v>
      </c>
      <c r="B205" t="s">
        <v>307</v>
      </c>
      <c r="C205" t="s">
        <v>409</v>
      </c>
      <c r="D205" t="s">
        <v>393</v>
      </c>
      <c r="E205" t="s">
        <v>396</v>
      </c>
      <c r="F205">
        <v>10</v>
      </c>
      <c r="G205">
        <v>4575</v>
      </c>
      <c r="H205">
        <v>45750</v>
      </c>
    </row>
    <row r="206" spans="1:8" x14ac:dyDescent="0.3">
      <c r="A206" t="s">
        <v>192</v>
      </c>
      <c r="B206" t="s">
        <v>257</v>
      </c>
      <c r="C206" t="s">
        <v>389</v>
      </c>
      <c r="D206" t="s">
        <v>391</v>
      </c>
      <c r="E206" t="s">
        <v>398</v>
      </c>
      <c r="F206">
        <v>5</v>
      </c>
      <c r="G206">
        <v>3964</v>
      </c>
      <c r="H206">
        <v>19820</v>
      </c>
    </row>
  </sheetData>
  <conditionalFormatting sqref="C1:C28">
    <cfRule type="duplicateValues" dxfId="1" priority="1"/>
  </conditionalFormatting>
  <conditionalFormatting sqref="H2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B1FB-1D75-44A4-BFB2-5DD2001CEF19}">
  <dimension ref="A1:P201"/>
  <sheetViews>
    <sheetView zoomScale="98" zoomScaleNormal="98" workbookViewId="0">
      <selection activeCell="H11" sqref="H11"/>
    </sheetView>
  </sheetViews>
  <sheetFormatPr defaultRowHeight="14.4" x14ac:dyDescent="0.3"/>
  <cols>
    <col min="1" max="1" width="8.6640625" style="4" bestFit="1" customWidth="1"/>
    <col min="2" max="2" width="10.6640625" style="12" bestFit="1" customWidth="1"/>
    <col min="3" max="3" width="15.21875" style="4" bestFit="1" customWidth="1"/>
    <col min="4" max="4" width="6.77734375" style="4" bestFit="1" customWidth="1"/>
    <col min="5" max="5" width="16.33203125" style="4" bestFit="1" customWidth="1"/>
    <col min="6" max="6" width="8.5546875" style="4" bestFit="1" customWidth="1"/>
    <col min="7" max="7" width="9.6640625" style="4" bestFit="1" customWidth="1"/>
    <col min="8" max="8" width="10.44140625" style="4" bestFit="1" customWidth="1"/>
    <col min="9" max="10" width="10.44140625" style="4" customWidth="1"/>
    <col min="11" max="11" width="12.33203125" style="4" bestFit="1" customWidth="1"/>
    <col min="12" max="12" width="10.44140625" style="4" customWidth="1"/>
    <col min="14" max="14" width="22.88671875" bestFit="1" customWidth="1"/>
    <col min="15" max="15" width="33.33203125" customWidth="1"/>
  </cols>
  <sheetData>
    <row r="1" spans="1:16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472</v>
      </c>
      <c r="J1" s="17" t="s">
        <v>473</v>
      </c>
      <c r="K1" s="17" t="s">
        <v>474</v>
      </c>
      <c r="L1" s="15"/>
      <c r="N1" t="s">
        <v>406</v>
      </c>
      <c r="O1" t="s">
        <v>407</v>
      </c>
    </row>
    <row r="2" spans="1:16" x14ac:dyDescent="0.3">
      <c r="A2" s="18" t="s">
        <v>134</v>
      </c>
      <c r="B2" s="19" t="s">
        <v>326</v>
      </c>
      <c r="C2" s="18" t="s">
        <v>379</v>
      </c>
      <c r="D2" s="18" t="s">
        <v>391</v>
      </c>
      <c r="E2" s="18" t="s">
        <v>398</v>
      </c>
      <c r="F2" s="18">
        <v>4</v>
      </c>
      <c r="G2" s="18">
        <v>2708</v>
      </c>
      <c r="H2" s="18">
        <f>F2*G2</f>
        <v>10832</v>
      </c>
      <c r="I2" s="18">
        <v>60000</v>
      </c>
      <c r="J2" s="18">
        <f>H2-I2</f>
        <v>-49168</v>
      </c>
      <c r="K2" s="20">
        <f>H2/I2</f>
        <v>0.18053333333333332</v>
      </c>
      <c r="N2" t="s">
        <v>399</v>
      </c>
    </row>
    <row r="3" spans="1:16" x14ac:dyDescent="0.3">
      <c r="A3" s="18" t="s">
        <v>145</v>
      </c>
      <c r="B3" s="19" t="s">
        <v>334</v>
      </c>
      <c r="C3" s="18" t="s">
        <v>375</v>
      </c>
      <c r="D3" s="18" t="s">
        <v>390</v>
      </c>
      <c r="E3" s="18" t="s">
        <v>396</v>
      </c>
      <c r="F3" s="18">
        <v>3</v>
      </c>
      <c r="G3" s="18">
        <v>4810</v>
      </c>
      <c r="H3" s="18">
        <f t="shared" ref="H3:H66" si="0">F3*G3</f>
        <v>14430</v>
      </c>
      <c r="I3" s="18">
        <v>75000</v>
      </c>
      <c r="J3" s="18">
        <f t="shared" ref="J3:J66" si="1">H3-I3</f>
        <v>-60570</v>
      </c>
      <c r="K3" s="20">
        <f t="shared" ref="K3:K66" si="2">H3/I3</f>
        <v>0.19239999999999999</v>
      </c>
      <c r="N3" t="s">
        <v>412</v>
      </c>
      <c r="O3" t="s">
        <v>413</v>
      </c>
    </row>
    <row r="4" spans="1:16" x14ac:dyDescent="0.3">
      <c r="A4" s="18" t="s">
        <v>68</v>
      </c>
      <c r="B4" s="19" t="s">
        <v>266</v>
      </c>
      <c r="C4" s="18" t="s">
        <v>375</v>
      </c>
      <c r="D4" s="18" t="s">
        <v>393</v>
      </c>
      <c r="E4" s="18" t="s">
        <v>394</v>
      </c>
      <c r="F4" s="18">
        <v>1</v>
      </c>
      <c r="G4" s="18">
        <v>229</v>
      </c>
      <c r="H4" s="18">
        <f t="shared" si="0"/>
        <v>229</v>
      </c>
      <c r="I4" s="18">
        <v>50000</v>
      </c>
      <c r="J4" s="18">
        <f t="shared" si="1"/>
        <v>-49771</v>
      </c>
      <c r="K4" s="20">
        <f t="shared" si="2"/>
        <v>4.5799999999999999E-3</v>
      </c>
      <c r="N4" t="s">
        <v>476</v>
      </c>
      <c r="O4" t="s">
        <v>477</v>
      </c>
    </row>
    <row r="5" spans="1:16" x14ac:dyDescent="0.3">
      <c r="A5" s="18" t="s">
        <v>88</v>
      </c>
      <c r="B5" s="19" t="s">
        <v>286</v>
      </c>
      <c r="C5" s="18" t="s">
        <v>383</v>
      </c>
      <c r="D5" s="18" t="s">
        <v>393</v>
      </c>
      <c r="E5" s="18" t="s">
        <v>396</v>
      </c>
      <c r="F5" s="18">
        <v>10</v>
      </c>
      <c r="G5" s="18">
        <v>4862</v>
      </c>
      <c r="H5" s="18">
        <f t="shared" si="0"/>
        <v>48620</v>
      </c>
      <c r="I5" s="18">
        <v>75000</v>
      </c>
      <c r="J5" s="18">
        <f t="shared" si="1"/>
        <v>-26380</v>
      </c>
      <c r="K5" s="20">
        <f t="shared" si="2"/>
        <v>0.64826666666666666</v>
      </c>
    </row>
    <row r="6" spans="1:16" x14ac:dyDescent="0.3">
      <c r="A6" s="18" t="s">
        <v>155</v>
      </c>
      <c r="B6" s="19" t="s">
        <v>339</v>
      </c>
      <c r="C6" s="18" t="s">
        <v>377</v>
      </c>
      <c r="D6" s="18" t="s">
        <v>391</v>
      </c>
      <c r="E6" s="18" t="s">
        <v>394</v>
      </c>
      <c r="F6" s="18">
        <v>10</v>
      </c>
      <c r="G6" s="18">
        <v>4862</v>
      </c>
      <c r="H6" s="18">
        <f t="shared" si="0"/>
        <v>48620</v>
      </c>
      <c r="I6" s="18">
        <v>50000</v>
      </c>
      <c r="J6" s="18">
        <f t="shared" si="1"/>
        <v>-1380</v>
      </c>
      <c r="K6" s="20">
        <f t="shared" si="2"/>
        <v>0.97240000000000004</v>
      </c>
      <c r="N6" s="2" t="s">
        <v>437</v>
      </c>
    </row>
    <row r="7" spans="1:16" x14ac:dyDescent="0.3">
      <c r="A7" s="18" t="s">
        <v>110</v>
      </c>
      <c r="B7" s="19" t="s">
        <v>307</v>
      </c>
      <c r="C7" s="18" t="s">
        <v>382</v>
      </c>
      <c r="D7" s="18" t="s">
        <v>393</v>
      </c>
      <c r="E7" s="18" t="s">
        <v>396</v>
      </c>
      <c r="F7" s="18">
        <v>10</v>
      </c>
      <c r="G7" s="18">
        <v>4575</v>
      </c>
      <c r="H7" s="18">
        <f t="shared" si="0"/>
        <v>45750</v>
      </c>
      <c r="I7" s="18">
        <v>75000</v>
      </c>
      <c r="J7" s="18">
        <f t="shared" si="1"/>
        <v>-29250</v>
      </c>
      <c r="K7" s="20">
        <f t="shared" si="2"/>
        <v>0.61</v>
      </c>
      <c r="N7" t="s">
        <v>415</v>
      </c>
      <c r="O7" t="s">
        <v>422</v>
      </c>
      <c r="P7">
        <f>AVERAGE(F2:F201)</f>
        <v>5.415</v>
      </c>
    </row>
    <row r="8" spans="1:16" x14ac:dyDescent="0.3">
      <c r="A8" s="18" t="s">
        <v>173</v>
      </c>
      <c r="B8" s="19" t="s">
        <v>268</v>
      </c>
      <c r="C8" s="18" t="s">
        <v>389</v>
      </c>
      <c r="D8" s="18" t="s">
        <v>393</v>
      </c>
      <c r="E8" s="18" t="s">
        <v>475</v>
      </c>
      <c r="F8" s="18">
        <v>10</v>
      </c>
      <c r="G8" s="18">
        <v>4363</v>
      </c>
      <c r="H8" s="18">
        <f t="shared" si="0"/>
        <v>43630</v>
      </c>
      <c r="I8" s="18">
        <v>20000</v>
      </c>
      <c r="J8" s="18">
        <f t="shared" si="1"/>
        <v>23630</v>
      </c>
      <c r="K8" s="20">
        <f t="shared" si="2"/>
        <v>2.1815000000000002</v>
      </c>
      <c r="N8" t="s">
        <v>416</v>
      </c>
      <c r="O8" t="s">
        <v>423</v>
      </c>
      <c r="P8">
        <f>MEDIAN(F1:F2)</f>
        <v>4</v>
      </c>
    </row>
    <row r="9" spans="1:16" x14ac:dyDescent="0.3">
      <c r="A9" s="18" t="s">
        <v>98</v>
      </c>
      <c r="B9" s="19" t="s">
        <v>296</v>
      </c>
      <c r="C9" s="18" t="s">
        <v>386</v>
      </c>
      <c r="D9" s="18" t="s">
        <v>391</v>
      </c>
      <c r="E9" s="18" t="s">
        <v>398</v>
      </c>
      <c r="F9" s="18">
        <v>9</v>
      </c>
      <c r="G9" s="18">
        <v>4778</v>
      </c>
      <c r="H9" s="18">
        <f t="shared" si="0"/>
        <v>43002</v>
      </c>
      <c r="I9" s="18">
        <v>60000</v>
      </c>
      <c r="J9" s="18">
        <f t="shared" si="1"/>
        <v>-16998</v>
      </c>
      <c r="K9" s="20">
        <f t="shared" si="2"/>
        <v>0.7167</v>
      </c>
      <c r="N9" t="s">
        <v>417</v>
      </c>
      <c r="O9" t="s">
        <v>424</v>
      </c>
      <c r="P9">
        <f>COUNT(F2:F201)</f>
        <v>200</v>
      </c>
    </row>
    <row r="10" spans="1:16" x14ac:dyDescent="0.3">
      <c r="A10" s="18" t="s">
        <v>84</v>
      </c>
      <c r="B10" s="19" t="s">
        <v>282</v>
      </c>
      <c r="C10" s="18" t="s">
        <v>377</v>
      </c>
      <c r="D10" s="18" t="s">
        <v>393</v>
      </c>
      <c r="E10" s="18" t="s">
        <v>397</v>
      </c>
      <c r="F10" s="18">
        <v>9</v>
      </c>
      <c r="G10" s="18">
        <v>4610</v>
      </c>
      <c r="H10" s="18">
        <f t="shared" si="0"/>
        <v>41490</v>
      </c>
      <c r="I10" s="18">
        <v>100000</v>
      </c>
      <c r="J10" s="18">
        <f t="shared" si="1"/>
        <v>-58510</v>
      </c>
      <c r="K10" s="20">
        <f t="shared" si="2"/>
        <v>0.41489999999999999</v>
      </c>
      <c r="N10" t="s">
        <v>418</v>
      </c>
      <c r="O10" t="s">
        <v>425</v>
      </c>
      <c r="P10">
        <f>COUNTA(F2:F201)</f>
        <v>200</v>
      </c>
    </row>
    <row r="11" spans="1:16" x14ac:dyDescent="0.3">
      <c r="A11" s="18" t="s">
        <v>151</v>
      </c>
      <c r="B11" s="19" t="s">
        <v>337</v>
      </c>
      <c r="C11" s="18" t="s">
        <v>377</v>
      </c>
      <c r="D11" s="18" t="s">
        <v>403</v>
      </c>
      <c r="E11" s="18" t="s">
        <v>398</v>
      </c>
      <c r="F11" s="18">
        <v>10</v>
      </c>
      <c r="G11" s="18">
        <v>4049</v>
      </c>
      <c r="H11" s="18">
        <f t="shared" si="0"/>
        <v>40490</v>
      </c>
      <c r="I11" s="18">
        <v>60000</v>
      </c>
      <c r="J11" s="18">
        <f t="shared" si="1"/>
        <v>-19510</v>
      </c>
      <c r="K11" s="20">
        <f t="shared" si="2"/>
        <v>0.67483333333333329</v>
      </c>
      <c r="N11" t="s">
        <v>426</v>
      </c>
      <c r="O11" t="s">
        <v>429</v>
      </c>
      <c r="P11">
        <f>COUNTBLANK(F2:F201)</f>
        <v>0</v>
      </c>
    </row>
    <row r="12" spans="1:16" x14ac:dyDescent="0.3">
      <c r="A12" s="18" t="s">
        <v>128</v>
      </c>
      <c r="B12" s="19" t="s">
        <v>321</v>
      </c>
      <c r="C12" s="18" t="s">
        <v>384</v>
      </c>
      <c r="D12" s="18" t="s">
        <v>403</v>
      </c>
      <c r="E12" s="18" t="s">
        <v>396</v>
      </c>
      <c r="F12" s="18">
        <v>8</v>
      </c>
      <c r="G12" s="18">
        <v>4868</v>
      </c>
      <c r="H12" s="18">
        <f t="shared" si="0"/>
        <v>38944</v>
      </c>
      <c r="I12" s="18">
        <v>75000</v>
      </c>
      <c r="J12" s="18">
        <f t="shared" si="1"/>
        <v>-36056</v>
      </c>
      <c r="K12" s="20">
        <f t="shared" si="2"/>
        <v>0.51925333333333334</v>
      </c>
      <c r="N12" t="s">
        <v>427</v>
      </c>
      <c r="O12" t="s">
        <v>430</v>
      </c>
      <c r="P12">
        <f>COUNTIF(E2:E201, "Clothing")</f>
        <v>38</v>
      </c>
    </row>
    <row r="13" spans="1:16" x14ac:dyDescent="0.3">
      <c r="A13" s="18" t="s">
        <v>61</v>
      </c>
      <c r="B13" s="19" t="s">
        <v>259</v>
      </c>
      <c r="C13" s="18" t="s">
        <v>384</v>
      </c>
      <c r="D13" s="18" t="s">
        <v>390</v>
      </c>
      <c r="E13" s="18" t="s">
        <v>397</v>
      </c>
      <c r="F13" s="18">
        <v>8</v>
      </c>
      <c r="G13" s="18">
        <v>4812</v>
      </c>
      <c r="H13" s="18">
        <f t="shared" si="0"/>
        <v>38496</v>
      </c>
      <c r="I13" s="18">
        <v>100000</v>
      </c>
      <c r="J13" s="18">
        <f t="shared" si="1"/>
        <v>-61504</v>
      </c>
      <c r="K13" s="20">
        <f t="shared" si="2"/>
        <v>0.38496000000000002</v>
      </c>
      <c r="N13" t="s">
        <v>428</v>
      </c>
      <c r="O13" t="s">
        <v>431</v>
      </c>
      <c r="P13">
        <f>COUNTIFS(E2:E201, "Clothing",F2:F201, 10)</f>
        <v>7</v>
      </c>
    </row>
    <row r="14" spans="1:16" x14ac:dyDescent="0.3">
      <c r="A14" s="18" t="s">
        <v>27</v>
      </c>
      <c r="B14" s="19" t="s">
        <v>226</v>
      </c>
      <c r="C14" s="18" t="s">
        <v>387</v>
      </c>
      <c r="D14" s="18" t="s">
        <v>391</v>
      </c>
      <c r="E14" s="18" t="s">
        <v>396</v>
      </c>
      <c r="F14" s="18">
        <v>9</v>
      </c>
      <c r="G14" s="18">
        <v>4242</v>
      </c>
      <c r="H14" s="18">
        <f t="shared" si="0"/>
        <v>38178</v>
      </c>
      <c r="I14" s="18">
        <v>75000</v>
      </c>
      <c r="J14" s="18">
        <f t="shared" si="1"/>
        <v>-36822</v>
      </c>
      <c r="K14" s="20">
        <f t="shared" si="2"/>
        <v>0.50904000000000005</v>
      </c>
      <c r="N14" t="s">
        <v>420</v>
      </c>
      <c r="O14" t="s">
        <v>433</v>
      </c>
      <c r="P14">
        <f>MAX(F2:F201)</f>
        <v>10</v>
      </c>
    </row>
    <row r="15" spans="1:16" x14ac:dyDescent="0.3">
      <c r="A15" s="18" t="s">
        <v>132</v>
      </c>
      <c r="B15" s="19" t="s">
        <v>324</v>
      </c>
      <c r="C15" s="18" t="s">
        <v>375</v>
      </c>
      <c r="D15" s="18" t="s">
        <v>391</v>
      </c>
      <c r="E15" s="18" t="s">
        <v>398</v>
      </c>
      <c r="F15" s="18">
        <v>8</v>
      </c>
      <c r="G15" s="18">
        <v>4748</v>
      </c>
      <c r="H15" s="18">
        <f t="shared" si="0"/>
        <v>37984</v>
      </c>
      <c r="I15" s="18">
        <v>60000</v>
      </c>
      <c r="J15" s="18">
        <f t="shared" si="1"/>
        <v>-22016</v>
      </c>
      <c r="K15" s="20">
        <f t="shared" si="2"/>
        <v>0.63306666666666667</v>
      </c>
      <c r="N15" t="s">
        <v>419</v>
      </c>
      <c r="O15" t="s">
        <v>434</v>
      </c>
      <c r="P15">
        <f>MIN(F2:F201)</f>
        <v>0</v>
      </c>
    </row>
    <row r="16" spans="1:16" x14ac:dyDescent="0.3">
      <c r="A16" s="18" t="s">
        <v>176</v>
      </c>
      <c r="B16" s="19" t="s">
        <v>354</v>
      </c>
      <c r="C16" s="18" t="s">
        <v>382</v>
      </c>
      <c r="D16" s="18" t="s">
        <v>391</v>
      </c>
      <c r="E16" s="18" t="s">
        <v>398</v>
      </c>
      <c r="F16" s="18">
        <v>9</v>
      </c>
      <c r="G16" s="18">
        <v>4167</v>
      </c>
      <c r="H16" s="18">
        <f t="shared" si="0"/>
        <v>37503</v>
      </c>
      <c r="I16" s="18">
        <v>60000</v>
      </c>
      <c r="J16" s="18">
        <f t="shared" si="1"/>
        <v>-22497</v>
      </c>
      <c r="K16" s="20">
        <f t="shared" si="2"/>
        <v>0.62504999999999999</v>
      </c>
      <c r="N16" t="s">
        <v>421</v>
      </c>
      <c r="O16" t="s">
        <v>435</v>
      </c>
      <c r="P16">
        <f>LARGE(F2:F201, 1)</f>
        <v>10</v>
      </c>
    </row>
    <row r="17" spans="1:16" x14ac:dyDescent="0.3">
      <c r="A17" s="18" t="s">
        <v>126</v>
      </c>
      <c r="B17" s="19" t="s">
        <v>295</v>
      </c>
      <c r="C17" s="18" t="s">
        <v>376</v>
      </c>
      <c r="D17" s="18" t="s">
        <v>392</v>
      </c>
      <c r="E17" s="18" t="s">
        <v>395</v>
      </c>
      <c r="F17" s="18">
        <v>0</v>
      </c>
      <c r="G17" s="18">
        <v>4160</v>
      </c>
      <c r="H17" s="18">
        <f t="shared" si="0"/>
        <v>0</v>
      </c>
      <c r="I17" s="18">
        <v>70000</v>
      </c>
      <c r="J17" s="18">
        <f t="shared" si="1"/>
        <v>-70000</v>
      </c>
      <c r="K17" s="20">
        <f t="shared" si="2"/>
        <v>0</v>
      </c>
      <c r="N17" t="s">
        <v>432</v>
      </c>
      <c r="O17" t="s">
        <v>436</v>
      </c>
      <c r="P17">
        <f>SMALL(F2:F201, 1)</f>
        <v>0</v>
      </c>
    </row>
    <row r="18" spans="1:16" x14ac:dyDescent="0.3">
      <c r="A18" s="18" t="s">
        <v>181</v>
      </c>
      <c r="B18" s="19" t="s">
        <v>260</v>
      </c>
      <c r="C18" s="18" t="s">
        <v>382</v>
      </c>
      <c r="D18" s="18" t="s">
        <v>393</v>
      </c>
      <c r="E18" s="18" t="s">
        <v>397</v>
      </c>
      <c r="F18" s="18">
        <v>9</v>
      </c>
      <c r="G18" s="18">
        <v>3943</v>
      </c>
      <c r="H18" s="18">
        <f t="shared" si="0"/>
        <v>35487</v>
      </c>
      <c r="I18" s="18">
        <v>100000</v>
      </c>
      <c r="J18" s="18">
        <f t="shared" si="1"/>
        <v>-64513</v>
      </c>
      <c r="K18" s="20">
        <f t="shared" si="2"/>
        <v>0.35487000000000002</v>
      </c>
    </row>
    <row r="19" spans="1:16" x14ac:dyDescent="0.3">
      <c r="A19" s="18" t="s">
        <v>40</v>
      </c>
      <c r="B19" s="19" t="s">
        <v>238</v>
      </c>
      <c r="C19" s="18" t="s">
        <v>380</v>
      </c>
      <c r="D19" s="18" t="s">
        <v>392</v>
      </c>
      <c r="E19" s="18" t="s">
        <v>398</v>
      </c>
      <c r="F19" s="18">
        <v>9</v>
      </c>
      <c r="G19" s="18">
        <v>3898</v>
      </c>
      <c r="H19" s="18">
        <f t="shared" si="0"/>
        <v>35082</v>
      </c>
      <c r="I19" s="18">
        <v>60000</v>
      </c>
      <c r="J19" s="18">
        <f t="shared" si="1"/>
        <v>-24918</v>
      </c>
      <c r="K19" s="20">
        <f t="shared" si="2"/>
        <v>0.5847</v>
      </c>
      <c r="N19" s="2" t="s">
        <v>438</v>
      </c>
    </row>
    <row r="20" spans="1:16" x14ac:dyDescent="0.3">
      <c r="A20" s="18" t="s">
        <v>26</v>
      </c>
      <c r="B20" s="19" t="s">
        <v>225</v>
      </c>
      <c r="C20" s="18" t="s">
        <v>381</v>
      </c>
      <c r="D20" s="18" t="s">
        <v>392</v>
      </c>
      <c r="E20" s="18" t="s">
        <v>395</v>
      </c>
      <c r="F20" s="18">
        <v>7</v>
      </c>
      <c r="G20" s="18">
        <v>4980</v>
      </c>
      <c r="H20" s="18">
        <f t="shared" si="0"/>
        <v>34860</v>
      </c>
      <c r="I20" s="18">
        <v>70000</v>
      </c>
      <c r="J20" s="18">
        <f t="shared" si="1"/>
        <v>-35140</v>
      </c>
      <c r="K20" s="20">
        <f t="shared" si="2"/>
        <v>0.498</v>
      </c>
      <c r="N20" t="s">
        <v>440</v>
      </c>
      <c r="O20" t="s">
        <v>439</v>
      </c>
      <c r="P20" t="str">
        <f>IF(H2&gt;20000, "High Sale", "Low Sale")</f>
        <v>Low Sale</v>
      </c>
    </row>
    <row r="21" spans="1:16" x14ac:dyDescent="0.3">
      <c r="A21" s="18" t="s">
        <v>183</v>
      </c>
      <c r="B21" s="19" t="s">
        <v>359</v>
      </c>
      <c r="C21" s="18" t="s">
        <v>385</v>
      </c>
      <c r="D21" s="18" t="s">
        <v>392</v>
      </c>
      <c r="E21" s="18" t="s">
        <v>394</v>
      </c>
      <c r="F21" s="18">
        <v>10</v>
      </c>
      <c r="G21" s="18">
        <v>3456</v>
      </c>
      <c r="H21" s="18">
        <f t="shared" si="0"/>
        <v>34560</v>
      </c>
      <c r="I21" s="18">
        <v>50000</v>
      </c>
      <c r="J21" s="18">
        <f t="shared" si="1"/>
        <v>-15440</v>
      </c>
      <c r="K21" s="20">
        <f t="shared" si="2"/>
        <v>0.69120000000000004</v>
      </c>
      <c r="N21" t="s">
        <v>441</v>
      </c>
      <c r="O21" s="2" t="s">
        <v>445</v>
      </c>
      <c r="P21" t="str">
        <f>IF(AND(H2&gt;20000, D2="North"), "Qualified", "Not Qualified")</f>
        <v>Not Qualified</v>
      </c>
    </row>
    <row r="22" spans="1:16" x14ac:dyDescent="0.3">
      <c r="A22" s="18" t="s">
        <v>94</v>
      </c>
      <c r="B22" s="19" t="s">
        <v>292</v>
      </c>
      <c r="C22" s="18" t="s">
        <v>386</v>
      </c>
      <c r="D22" s="18" t="s">
        <v>390</v>
      </c>
      <c r="E22" s="18" t="s">
        <v>398</v>
      </c>
      <c r="F22" s="18">
        <v>7</v>
      </c>
      <c r="G22" s="18">
        <v>4915</v>
      </c>
      <c r="H22" s="18">
        <f t="shared" si="0"/>
        <v>34405</v>
      </c>
      <c r="I22" s="18">
        <v>60000</v>
      </c>
      <c r="J22" s="18">
        <f t="shared" si="1"/>
        <v>-25595</v>
      </c>
      <c r="K22" s="20">
        <f t="shared" si="2"/>
        <v>0.57341666666666669</v>
      </c>
      <c r="N22" t="s">
        <v>442</v>
      </c>
      <c r="O22" s="2" t="s">
        <v>446</v>
      </c>
      <c r="P22" t="str">
        <f>IF(OR(D2="North", D2="Easr"), "Priority", "Normal")</f>
        <v>Normal</v>
      </c>
    </row>
    <row r="23" spans="1:16" x14ac:dyDescent="0.3">
      <c r="A23" s="18" t="s">
        <v>123</v>
      </c>
      <c r="B23" s="19" t="s">
        <v>318</v>
      </c>
      <c r="C23" s="18" t="s">
        <v>385</v>
      </c>
      <c r="D23" s="18" t="s">
        <v>390</v>
      </c>
      <c r="E23" s="18" t="s">
        <v>394</v>
      </c>
      <c r="F23" s="18">
        <v>9</v>
      </c>
      <c r="G23" s="18">
        <v>3709</v>
      </c>
      <c r="H23" s="18">
        <f t="shared" si="0"/>
        <v>33381</v>
      </c>
      <c r="I23" s="18">
        <v>50000</v>
      </c>
      <c r="J23" s="18">
        <f t="shared" si="1"/>
        <v>-16619</v>
      </c>
      <c r="K23" s="20">
        <f t="shared" si="2"/>
        <v>0.66761999999999999</v>
      </c>
      <c r="N23" t="s">
        <v>443</v>
      </c>
      <c r="O23" t="s">
        <v>447</v>
      </c>
      <c r="P23" t="str">
        <f>IF(NOT(D2="South"), "Other Region", "South Zone")</f>
        <v>South Zone</v>
      </c>
    </row>
    <row r="24" spans="1:16" x14ac:dyDescent="0.3">
      <c r="A24" s="18" t="s">
        <v>168</v>
      </c>
      <c r="B24" s="19" t="s">
        <v>348</v>
      </c>
      <c r="C24" s="18" t="s">
        <v>381</v>
      </c>
      <c r="D24" s="18" t="s">
        <v>391</v>
      </c>
      <c r="E24" s="18" t="s">
        <v>394</v>
      </c>
      <c r="F24" s="18">
        <v>8</v>
      </c>
      <c r="G24" s="18">
        <v>4170</v>
      </c>
      <c r="H24" s="18">
        <f t="shared" si="0"/>
        <v>33360</v>
      </c>
      <c r="I24" s="18">
        <v>50000</v>
      </c>
      <c r="J24" s="18">
        <f t="shared" si="1"/>
        <v>-16640</v>
      </c>
      <c r="K24" s="20">
        <f t="shared" si="2"/>
        <v>0.66720000000000002</v>
      </c>
      <c r="N24" t="s">
        <v>444</v>
      </c>
      <c r="O24" t="s">
        <v>448</v>
      </c>
      <c r="P24" t="str">
        <f>IFERROR(A2/B2, "Error in Calculation")</f>
        <v>Error in Calculation</v>
      </c>
    </row>
    <row r="25" spans="1:16" x14ac:dyDescent="0.3">
      <c r="A25" s="18" t="s">
        <v>205</v>
      </c>
      <c r="B25" s="19" t="s">
        <v>372</v>
      </c>
      <c r="C25" s="18" t="s">
        <v>375</v>
      </c>
      <c r="D25" s="18" t="s">
        <v>391</v>
      </c>
      <c r="E25" s="18" t="s">
        <v>396</v>
      </c>
      <c r="F25" s="18">
        <v>7</v>
      </c>
      <c r="G25" s="18">
        <v>4765</v>
      </c>
      <c r="H25" s="18">
        <f t="shared" si="0"/>
        <v>33355</v>
      </c>
      <c r="I25" s="18">
        <v>75000</v>
      </c>
      <c r="J25" s="18">
        <f t="shared" si="1"/>
        <v>-41645</v>
      </c>
      <c r="K25" s="20">
        <f t="shared" si="2"/>
        <v>0.44473333333333331</v>
      </c>
    </row>
    <row r="26" spans="1:16" x14ac:dyDescent="0.3">
      <c r="A26" s="18" t="s">
        <v>99</v>
      </c>
      <c r="B26" s="19" t="s">
        <v>297</v>
      </c>
      <c r="C26" s="18" t="s">
        <v>387</v>
      </c>
      <c r="D26" s="18" t="s">
        <v>393</v>
      </c>
      <c r="E26" s="18" t="s">
        <v>395</v>
      </c>
      <c r="F26" s="18">
        <v>9</v>
      </c>
      <c r="G26" s="18">
        <v>3695</v>
      </c>
      <c r="H26" s="18">
        <f t="shared" si="0"/>
        <v>33255</v>
      </c>
      <c r="I26" s="18">
        <v>70000</v>
      </c>
      <c r="J26" s="18">
        <f t="shared" si="1"/>
        <v>-36745</v>
      </c>
      <c r="K26" s="20">
        <f t="shared" si="2"/>
        <v>0.47507142857142859</v>
      </c>
      <c r="N26" s="2" t="s">
        <v>449</v>
      </c>
    </row>
    <row r="27" spans="1:16" x14ac:dyDescent="0.3">
      <c r="A27" s="18" t="s">
        <v>207</v>
      </c>
      <c r="B27" s="19" t="s">
        <v>374</v>
      </c>
      <c r="C27" s="18" t="s">
        <v>386</v>
      </c>
      <c r="D27" s="18" t="s">
        <v>392</v>
      </c>
      <c r="E27" s="18" t="s">
        <v>394</v>
      </c>
      <c r="F27" s="18">
        <v>10</v>
      </c>
      <c r="G27" s="18">
        <v>3321</v>
      </c>
      <c r="H27" s="18">
        <f t="shared" si="0"/>
        <v>33210</v>
      </c>
      <c r="I27" s="18">
        <v>50000</v>
      </c>
      <c r="J27" s="18">
        <f t="shared" si="1"/>
        <v>-16790</v>
      </c>
      <c r="K27" s="20">
        <f t="shared" si="2"/>
        <v>0.66420000000000001</v>
      </c>
      <c r="N27" t="s">
        <v>451</v>
      </c>
      <c r="O27" t="s">
        <v>404</v>
      </c>
      <c r="P27" t="str">
        <f>LEFT(C2,(FIND(" ",C2)))</f>
        <v xml:space="preserve">Kavita </v>
      </c>
    </row>
    <row r="28" spans="1:16" x14ac:dyDescent="0.3">
      <c r="A28" s="18" t="s">
        <v>163</v>
      </c>
      <c r="B28" s="19" t="s">
        <v>345</v>
      </c>
      <c r="C28" s="18" t="s">
        <v>376</v>
      </c>
      <c r="D28" s="18" t="s">
        <v>393</v>
      </c>
      <c r="E28" s="18" t="s">
        <v>394</v>
      </c>
      <c r="F28" s="18">
        <v>7</v>
      </c>
      <c r="G28" s="18">
        <v>4706</v>
      </c>
      <c r="H28" s="18">
        <f t="shared" si="0"/>
        <v>32942</v>
      </c>
      <c r="I28" s="18">
        <v>50000</v>
      </c>
      <c r="J28" s="18">
        <f t="shared" si="1"/>
        <v>-17058</v>
      </c>
      <c r="K28" s="20">
        <f t="shared" si="2"/>
        <v>0.65883999999999998</v>
      </c>
      <c r="N28" t="s">
        <v>452</v>
      </c>
      <c r="O28" t="s">
        <v>405</v>
      </c>
      <c r="P28" t="str">
        <f>TRIM(RIGHT(SUBSTITUTE(C2, " ",REPT(" ",255)),255))</f>
        <v>Rao</v>
      </c>
    </row>
    <row r="29" spans="1:16" x14ac:dyDescent="0.3">
      <c r="A29" s="18" t="s">
        <v>146</v>
      </c>
      <c r="B29" s="19" t="s">
        <v>335</v>
      </c>
      <c r="C29" s="18" t="s">
        <v>375</v>
      </c>
      <c r="D29" s="18" t="s">
        <v>391</v>
      </c>
      <c r="E29" s="18" t="s">
        <v>397</v>
      </c>
      <c r="F29" s="18">
        <v>9</v>
      </c>
      <c r="G29" s="18">
        <v>3609</v>
      </c>
      <c r="H29" s="18">
        <f t="shared" si="0"/>
        <v>32481</v>
      </c>
      <c r="I29" s="18">
        <v>100000</v>
      </c>
      <c r="J29" s="18">
        <f t="shared" si="1"/>
        <v>-67519</v>
      </c>
      <c r="K29" s="20">
        <f t="shared" si="2"/>
        <v>0.32480999999999999</v>
      </c>
      <c r="N29" t="s">
        <v>453</v>
      </c>
      <c r="O29" t="s">
        <v>414</v>
      </c>
      <c r="P29" t="str">
        <f>UPPER(C2)</f>
        <v>KAVITA RAO</v>
      </c>
    </row>
    <row r="30" spans="1:16" x14ac:dyDescent="0.3">
      <c r="A30" s="18" t="s">
        <v>107</v>
      </c>
      <c r="B30" s="19" t="s">
        <v>304</v>
      </c>
      <c r="C30" s="18" t="s">
        <v>387</v>
      </c>
      <c r="D30" s="18" t="s">
        <v>392</v>
      </c>
      <c r="E30" s="18" t="s">
        <v>398</v>
      </c>
      <c r="F30" s="18">
        <v>7</v>
      </c>
      <c r="G30" s="18">
        <v>4609</v>
      </c>
      <c r="H30" s="18">
        <f t="shared" si="0"/>
        <v>32263</v>
      </c>
      <c r="I30" s="18">
        <v>60000</v>
      </c>
      <c r="J30" s="18">
        <f t="shared" si="1"/>
        <v>-27737</v>
      </c>
      <c r="K30" s="20">
        <f t="shared" si="2"/>
        <v>0.53771666666666662</v>
      </c>
      <c r="N30" t="s">
        <v>454</v>
      </c>
      <c r="O30" t="s">
        <v>414</v>
      </c>
      <c r="P30" t="str">
        <f>LOWER(C2)</f>
        <v>kavita rao</v>
      </c>
    </row>
    <row r="31" spans="1:16" x14ac:dyDescent="0.3">
      <c r="A31" s="18" t="s">
        <v>189</v>
      </c>
      <c r="B31" s="19" t="s">
        <v>365</v>
      </c>
      <c r="C31" s="18" t="s">
        <v>380</v>
      </c>
      <c r="D31" s="18" t="s">
        <v>391</v>
      </c>
      <c r="E31" s="18" t="s">
        <v>396</v>
      </c>
      <c r="F31" s="18">
        <v>9</v>
      </c>
      <c r="G31" s="18">
        <v>3575</v>
      </c>
      <c r="H31" s="18">
        <f t="shared" si="0"/>
        <v>32175</v>
      </c>
      <c r="I31" s="18">
        <v>75000</v>
      </c>
      <c r="J31" s="18">
        <f t="shared" si="1"/>
        <v>-42825</v>
      </c>
      <c r="K31" s="20">
        <f t="shared" si="2"/>
        <v>0.42899999999999999</v>
      </c>
      <c r="N31" t="s">
        <v>455</v>
      </c>
      <c r="O31" t="s">
        <v>414</v>
      </c>
      <c r="P31" t="str">
        <f>PROPER(C2)</f>
        <v>Kavita Rao</v>
      </c>
    </row>
    <row r="32" spans="1:16" x14ac:dyDescent="0.3">
      <c r="A32" s="18" t="s">
        <v>90</v>
      </c>
      <c r="B32" s="19" t="s">
        <v>288</v>
      </c>
      <c r="C32" s="18" t="s">
        <v>385</v>
      </c>
      <c r="D32" s="18" t="s">
        <v>392</v>
      </c>
      <c r="E32" s="18" t="s">
        <v>398</v>
      </c>
      <c r="F32" s="18">
        <v>8</v>
      </c>
      <c r="G32" s="18">
        <v>3822</v>
      </c>
      <c r="H32" s="18">
        <f t="shared" si="0"/>
        <v>30576</v>
      </c>
      <c r="I32" s="18">
        <v>60000</v>
      </c>
      <c r="J32" s="18">
        <f t="shared" si="1"/>
        <v>-29424</v>
      </c>
      <c r="K32" s="20">
        <f t="shared" si="2"/>
        <v>0.50960000000000005</v>
      </c>
      <c r="N32" t="s">
        <v>450</v>
      </c>
      <c r="O32" t="s">
        <v>456</v>
      </c>
      <c r="P32" t="str">
        <f>SUBSTITUTE(C2, "Sing", "Patil")</f>
        <v>Kavita Rao</v>
      </c>
    </row>
    <row r="33" spans="1:16" x14ac:dyDescent="0.3">
      <c r="A33" s="18" t="s">
        <v>16</v>
      </c>
      <c r="B33" s="19" t="s">
        <v>216</v>
      </c>
      <c r="C33" s="18" t="s">
        <v>381</v>
      </c>
      <c r="D33" s="18" t="s">
        <v>392</v>
      </c>
      <c r="E33" s="18" t="s">
        <v>395</v>
      </c>
      <c r="F33" s="18">
        <v>6</v>
      </c>
      <c r="G33" s="18">
        <v>4929</v>
      </c>
      <c r="H33" s="18">
        <f t="shared" si="0"/>
        <v>29574</v>
      </c>
      <c r="I33" s="18">
        <v>70000</v>
      </c>
      <c r="J33" s="18">
        <f t="shared" si="1"/>
        <v>-40426</v>
      </c>
      <c r="K33" s="20">
        <f t="shared" si="2"/>
        <v>0.4224857142857143</v>
      </c>
    </row>
    <row r="34" spans="1:16" x14ac:dyDescent="0.3">
      <c r="A34" s="18" t="s">
        <v>124</v>
      </c>
      <c r="B34" s="19" t="s">
        <v>319</v>
      </c>
      <c r="C34" s="18" t="s">
        <v>375</v>
      </c>
      <c r="D34" s="18" t="s">
        <v>392</v>
      </c>
      <c r="E34" s="18" t="s">
        <v>397</v>
      </c>
      <c r="F34" s="18">
        <v>7</v>
      </c>
      <c r="G34" s="18">
        <v>4215</v>
      </c>
      <c r="H34" s="18">
        <f t="shared" si="0"/>
        <v>29505</v>
      </c>
      <c r="I34" s="18">
        <v>100000</v>
      </c>
      <c r="J34" s="18">
        <f t="shared" si="1"/>
        <v>-70495</v>
      </c>
      <c r="K34" s="20">
        <f t="shared" si="2"/>
        <v>0.29504999999999998</v>
      </c>
      <c r="N34" s="2" t="s">
        <v>457</v>
      </c>
    </row>
    <row r="35" spans="1:16" x14ac:dyDescent="0.3">
      <c r="A35" s="18" t="s">
        <v>180</v>
      </c>
      <c r="B35" s="19" t="s">
        <v>357</v>
      </c>
      <c r="C35" s="18" t="s">
        <v>403</v>
      </c>
      <c r="D35" s="18" t="s">
        <v>391</v>
      </c>
      <c r="E35" s="18" t="s">
        <v>395</v>
      </c>
      <c r="F35" s="18">
        <v>10</v>
      </c>
      <c r="G35" s="18">
        <v>2919</v>
      </c>
      <c r="H35" s="18">
        <f t="shared" si="0"/>
        <v>29190</v>
      </c>
      <c r="I35" s="18">
        <v>70000</v>
      </c>
      <c r="J35" s="18">
        <f t="shared" si="1"/>
        <v>-40810</v>
      </c>
      <c r="K35" s="20">
        <f t="shared" si="2"/>
        <v>0.41699999999999998</v>
      </c>
      <c r="N35" s="5" t="s">
        <v>458</v>
      </c>
      <c r="O35" s="6">
        <f ca="1">TODAY()</f>
        <v>45970</v>
      </c>
    </row>
    <row r="36" spans="1:16" x14ac:dyDescent="0.3">
      <c r="A36" s="18" t="s">
        <v>106</v>
      </c>
      <c r="B36" s="19" t="s">
        <v>286</v>
      </c>
      <c r="C36" s="18" t="s">
        <v>380</v>
      </c>
      <c r="D36" s="18" t="s">
        <v>390</v>
      </c>
      <c r="E36" s="18" t="s">
        <v>395</v>
      </c>
      <c r="F36" s="18">
        <v>7</v>
      </c>
      <c r="G36" s="18">
        <v>4107</v>
      </c>
      <c r="H36" s="18">
        <f t="shared" si="0"/>
        <v>28749</v>
      </c>
      <c r="I36" s="18">
        <v>70000</v>
      </c>
      <c r="J36" s="18">
        <f t="shared" si="1"/>
        <v>-41251</v>
      </c>
      <c r="K36" s="20">
        <f t="shared" si="2"/>
        <v>0.41070000000000001</v>
      </c>
      <c r="N36" s="5" t="s">
        <v>459</v>
      </c>
      <c r="O36" s="7">
        <f ca="1">NOW()</f>
        <v>45970.648304166665</v>
      </c>
    </row>
    <row r="37" spans="1:16" x14ac:dyDescent="0.3">
      <c r="A37" s="18" t="s">
        <v>166</v>
      </c>
      <c r="B37" s="19" t="s">
        <v>248</v>
      </c>
      <c r="C37" s="18" t="s">
        <v>380</v>
      </c>
      <c r="D37" s="18" t="s">
        <v>403</v>
      </c>
      <c r="E37" s="18" t="s">
        <v>396</v>
      </c>
      <c r="F37" s="18">
        <v>9</v>
      </c>
      <c r="G37" s="18">
        <v>3163</v>
      </c>
      <c r="H37" s="18">
        <f t="shared" si="0"/>
        <v>28467</v>
      </c>
      <c r="I37" s="18">
        <v>75000</v>
      </c>
      <c r="J37" s="18">
        <f t="shared" si="1"/>
        <v>-46533</v>
      </c>
      <c r="K37" s="20">
        <f t="shared" si="2"/>
        <v>0.37956000000000001</v>
      </c>
      <c r="N37" s="5" t="s">
        <v>460</v>
      </c>
      <c r="O37">
        <f>DAY(B2)</f>
        <v>6</v>
      </c>
    </row>
    <row r="38" spans="1:16" x14ac:dyDescent="0.3">
      <c r="A38" s="18" t="s">
        <v>45</v>
      </c>
      <c r="B38" s="19" t="s">
        <v>243</v>
      </c>
      <c r="C38" s="18" t="s">
        <v>389</v>
      </c>
      <c r="D38" s="18" t="s">
        <v>393</v>
      </c>
      <c r="E38" s="18" t="s">
        <v>396</v>
      </c>
      <c r="F38" s="18">
        <v>8</v>
      </c>
      <c r="G38" s="18">
        <v>3534</v>
      </c>
      <c r="H38" s="18">
        <f t="shared" si="0"/>
        <v>28272</v>
      </c>
      <c r="I38" s="18">
        <v>75000</v>
      </c>
      <c r="J38" s="18">
        <f t="shared" si="1"/>
        <v>-46728</v>
      </c>
      <c r="K38" s="20">
        <f t="shared" si="2"/>
        <v>0.37696000000000002</v>
      </c>
      <c r="N38" s="5" t="s">
        <v>461</v>
      </c>
      <c r="O38">
        <f>MONTH(B2)</f>
        <v>4</v>
      </c>
    </row>
    <row r="39" spans="1:16" x14ac:dyDescent="0.3">
      <c r="A39" s="18" t="s">
        <v>29</v>
      </c>
      <c r="B39" s="19" t="s">
        <v>228</v>
      </c>
      <c r="C39" s="18" t="s">
        <v>378</v>
      </c>
      <c r="D39" s="18" t="s">
        <v>390</v>
      </c>
      <c r="E39" s="18" t="s">
        <v>398</v>
      </c>
      <c r="F39" s="18">
        <v>7</v>
      </c>
      <c r="G39" s="18">
        <v>4034</v>
      </c>
      <c r="H39" s="18">
        <f t="shared" si="0"/>
        <v>28238</v>
      </c>
      <c r="I39" s="18">
        <v>60000</v>
      </c>
      <c r="J39" s="18">
        <f t="shared" si="1"/>
        <v>-31762</v>
      </c>
      <c r="K39" s="20">
        <f t="shared" si="2"/>
        <v>0.47063333333333335</v>
      </c>
      <c r="N39" s="5" t="s">
        <v>462</v>
      </c>
      <c r="O39">
        <f>YEAR(B2)</f>
        <v>2023</v>
      </c>
    </row>
    <row r="40" spans="1:16" x14ac:dyDescent="0.3">
      <c r="A40" s="18" t="s">
        <v>24</v>
      </c>
      <c r="B40" s="19" t="s">
        <v>223</v>
      </c>
      <c r="C40" s="18" t="s">
        <v>384</v>
      </c>
      <c r="D40" s="18" t="s">
        <v>392</v>
      </c>
      <c r="E40" s="18" t="s">
        <v>475</v>
      </c>
      <c r="F40" s="18">
        <v>8</v>
      </c>
      <c r="G40" s="18">
        <v>3441</v>
      </c>
      <c r="H40" s="18">
        <f t="shared" si="0"/>
        <v>27528</v>
      </c>
      <c r="I40" s="18">
        <v>20000</v>
      </c>
      <c r="J40" s="18">
        <f t="shared" si="1"/>
        <v>7528</v>
      </c>
      <c r="K40" s="20">
        <f t="shared" si="2"/>
        <v>1.3764000000000001</v>
      </c>
      <c r="N40" s="5" t="s">
        <v>463</v>
      </c>
      <c r="O40" s="6">
        <f>DATE(2025, 11, 9)</f>
        <v>45970</v>
      </c>
    </row>
    <row r="41" spans="1:16" x14ac:dyDescent="0.3">
      <c r="A41" s="18" t="s">
        <v>147</v>
      </c>
      <c r="B41" s="19" t="s">
        <v>281</v>
      </c>
      <c r="C41" s="18" t="s">
        <v>378</v>
      </c>
      <c r="D41" s="18" t="s">
        <v>391</v>
      </c>
      <c r="E41" s="18" t="s">
        <v>395</v>
      </c>
      <c r="F41" s="18">
        <v>7</v>
      </c>
      <c r="G41" s="18">
        <v>3890</v>
      </c>
      <c r="H41" s="18">
        <f t="shared" si="0"/>
        <v>27230</v>
      </c>
      <c r="I41" s="18">
        <v>70000</v>
      </c>
      <c r="J41" s="18">
        <f t="shared" si="1"/>
        <v>-42770</v>
      </c>
      <c r="K41" s="20">
        <f t="shared" si="2"/>
        <v>0.38900000000000001</v>
      </c>
      <c r="N41" t="s">
        <v>464</v>
      </c>
      <c r="O41">
        <f ca="1">DATEDIF(B2, TODAY(), "D")</f>
        <v>948</v>
      </c>
      <c r="P41" t="s">
        <v>466</v>
      </c>
    </row>
    <row r="42" spans="1:16" x14ac:dyDescent="0.3">
      <c r="A42" s="18" t="s">
        <v>135</v>
      </c>
      <c r="B42" s="19" t="s">
        <v>327</v>
      </c>
      <c r="C42" s="18" t="s">
        <v>387</v>
      </c>
      <c r="D42" s="18" t="s">
        <v>393</v>
      </c>
      <c r="E42" s="18" t="s">
        <v>395</v>
      </c>
      <c r="F42" s="18">
        <v>9</v>
      </c>
      <c r="G42" s="18">
        <v>3016</v>
      </c>
      <c r="H42" s="18">
        <f t="shared" si="0"/>
        <v>27144</v>
      </c>
      <c r="I42" s="18">
        <v>70000</v>
      </c>
      <c r="J42" s="18">
        <f t="shared" si="1"/>
        <v>-42856</v>
      </c>
      <c r="K42" s="20">
        <f t="shared" si="2"/>
        <v>0.38777142857142854</v>
      </c>
      <c r="N42" t="s">
        <v>465</v>
      </c>
      <c r="O42" s="6">
        <f>EDATE(B2, 3)</f>
        <v>45113</v>
      </c>
      <c r="P42" t="s">
        <v>467</v>
      </c>
    </row>
    <row r="43" spans="1:16" x14ac:dyDescent="0.3">
      <c r="A43" s="18" t="s">
        <v>194</v>
      </c>
      <c r="B43" s="19" t="s">
        <v>262</v>
      </c>
      <c r="C43" s="18" t="s">
        <v>375</v>
      </c>
      <c r="D43" s="18" t="s">
        <v>393</v>
      </c>
      <c r="E43" s="18" t="s">
        <v>394</v>
      </c>
      <c r="F43" s="18">
        <v>10</v>
      </c>
      <c r="G43" s="18">
        <v>2650</v>
      </c>
      <c r="H43" s="18">
        <f t="shared" si="0"/>
        <v>26500</v>
      </c>
      <c r="I43" s="18">
        <v>50000</v>
      </c>
      <c r="J43" s="18">
        <f t="shared" si="1"/>
        <v>-23500</v>
      </c>
      <c r="K43" s="20">
        <f t="shared" si="2"/>
        <v>0.53</v>
      </c>
      <c r="O43">
        <f>HOUR(B2)</f>
        <v>0</v>
      </c>
    </row>
    <row r="44" spans="1:16" x14ac:dyDescent="0.3">
      <c r="A44" s="18" t="s">
        <v>21</v>
      </c>
      <c r="B44" s="19" t="s">
        <v>221</v>
      </c>
      <c r="C44" s="18" t="s">
        <v>376</v>
      </c>
      <c r="D44" s="18" t="s">
        <v>391</v>
      </c>
      <c r="E44" s="18" t="s">
        <v>396</v>
      </c>
      <c r="F44" s="18">
        <v>8</v>
      </c>
      <c r="G44" s="18">
        <v>3308</v>
      </c>
      <c r="H44" s="18">
        <f t="shared" si="0"/>
        <v>26464</v>
      </c>
      <c r="I44" s="18">
        <v>75000</v>
      </c>
      <c r="J44" s="18">
        <f t="shared" si="1"/>
        <v>-48536</v>
      </c>
      <c r="K44" s="20">
        <f t="shared" si="2"/>
        <v>0.35285333333333335</v>
      </c>
    </row>
    <row r="45" spans="1:16" x14ac:dyDescent="0.3">
      <c r="A45" s="18" t="s">
        <v>175</v>
      </c>
      <c r="B45" s="19" t="s">
        <v>353</v>
      </c>
      <c r="C45" s="18" t="s">
        <v>379</v>
      </c>
      <c r="D45" s="18" t="s">
        <v>390</v>
      </c>
      <c r="E45" s="18" t="s">
        <v>394</v>
      </c>
      <c r="F45" s="18">
        <v>5</v>
      </c>
      <c r="G45" s="18">
        <v>4950</v>
      </c>
      <c r="H45" s="18">
        <f t="shared" si="0"/>
        <v>24750</v>
      </c>
      <c r="I45" s="18">
        <v>50000</v>
      </c>
      <c r="J45" s="18">
        <f t="shared" si="1"/>
        <v>-25250</v>
      </c>
      <c r="K45" s="20">
        <f t="shared" si="2"/>
        <v>0.495</v>
      </c>
      <c r="N45" s="4"/>
    </row>
    <row r="46" spans="1:16" x14ac:dyDescent="0.3">
      <c r="A46" s="18" t="s">
        <v>161</v>
      </c>
      <c r="B46" s="19" t="s">
        <v>306</v>
      </c>
      <c r="C46" s="18" t="s">
        <v>383</v>
      </c>
      <c r="D46" s="18" t="s">
        <v>393</v>
      </c>
      <c r="E46" s="18" t="s">
        <v>397</v>
      </c>
      <c r="F46" s="18">
        <v>8</v>
      </c>
      <c r="G46" s="18">
        <v>3050</v>
      </c>
      <c r="H46" s="18">
        <f t="shared" si="0"/>
        <v>24400</v>
      </c>
      <c r="I46" s="18">
        <v>100000</v>
      </c>
      <c r="J46" s="18">
        <f t="shared" si="1"/>
        <v>-75600</v>
      </c>
      <c r="K46" s="20">
        <f t="shared" si="2"/>
        <v>0.24399999999999999</v>
      </c>
      <c r="N46" s="4"/>
    </row>
    <row r="47" spans="1:16" x14ac:dyDescent="0.3">
      <c r="A47" s="18" t="s">
        <v>81</v>
      </c>
      <c r="B47" s="19" t="s">
        <v>279</v>
      </c>
      <c r="C47" s="18" t="s">
        <v>384</v>
      </c>
      <c r="D47" s="18" t="s">
        <v>392</v>
      </c>
      <c r="E47" s="18" t="s">
        <v>396</v>
      </c>
      <c r="F47" s="18">
        <v>10</v>
      </c>
      <c r="G47" s="18">
        <v>2374</v>
      </c>
      <c r="H47" s="18">
        <f t="shared" si="0"/>
        <v>23740</v>
      </c>
      <c r="I47" s="18">
        <v>75000</v>
      </c>
      <c r="J47" s="18">
        <f t="shared" si="1"/>
        <v>-51260</v>
      </c>
      <c r="K47" s="20">
        <f t="shared" si="2"/>
        <v>0.31653333333333333</v>
      </c>
      <c r="N47" s="4"/>
    </row>
    <row r="48" spans="1:16" x14ac:dyDescent="0.3">
      <c r="A48" s="18" t="s">
        <v>169</v>
      </c>
      <c r="B48" s="19" t="s">
        <v>296</v>
      </c>
      <c r="C48" s="18" t="s">
        <v>377</v>
      </c>
      <c r="D48" s="18" t="s">
        <v>391</v>
      </c>
      <c r="E48" s="18" t="s">
        <v>396</v>
      </c>
      <c r="F48" s="18">
        <v>5</v>
      </c>
      <c r="G48" s="18">
        <v>4712</v>
      </c>
      <c r="H48" s="18">
        <f t="shared" si="0"/>
        <v>23560</v>
      </c>
      <c r="I48" s="18">
        <v>75000</v>
      </c>
      <c r="J48" s="18">
        <f t="shared" si="1"/>
        <v>-51440</v>
      </c>
      <c r="K48" s="20">
        <f t="shared" si="2"/>
        <v>0.31413333333333332</v>
      </c>
      <c r="N48" s="4"/>
    </row>
    <row r="49" spans="1:14" x14ac:dyDescent="0.3">
      <c r="A49" s="18" t="s">
        <v>193</v>
      </c>
      <c r="B49" s="19" t="s">
        <v>366</v>
      </c>
      <c r="C49" s="18" t="s">
        <v>383</v>
      </c>
      <c r="D49" s="18" t="s">
        <v>390</v>
      </c>
      <c r="E49" s="18" t="s">
        <v>398</v>
      </c>
      <c r="F49" s="18">
        <v>5</v>
      </c>
      <c r="G49" s="18">
        <v>4677</v>
      </c>
      <c r="H49" s="18">
        <f t="shared" si="0"/>
        <v>23385</v>
      </c>
      <c r="I49" s="18">
        <v>60000</v>
      </c>
      <c r="J49" s="18">
        <f t="shared" si="1"/>
        <v>-36615</v>
      </c>
      <c r="K49" s="20">
        <f t="shared" si="2"/>
        <v>0.38974999999999999</v>
      </c>
      <c r="N49" s="4"/>
    </row>
    <row r="50" spans="1:14" x14ac:dyDescent="0.3">
      <c r="A50" s="18" t="s">
        <v>141</v>
      </c>
      <c r="B50" s="19" t="s">
        <v>313</v>
      </c>
      <c r="C50" s="18" t="s">
        <v>379</v>
      </c>
      <c r="D50" s="18" t="s">
        <v>390</v>
      </c>
      <c r="E50" s="18" t="s">
        <v>397</v>
      </c>
      <c r="F50" s="18">
        <v>9</v>
      </c>
      <c r="G50" s="18">
        <v>2593</v>
      </c>
      <c r="H50" s="18">
        <f t="shared" si="0"/>
        <v>23337</v>
      </c>
      <c r="I50" s="18">
        <v>100000</v>
      </c>
      <c r="J50" s="18">
        <f t="shared" si="1"/>
        <v>-76663</v>
      </c>
      <c r="K50" s="20">
        <f t="shared" si="2"/>
        <v>0.23336999999999999</v>
      </c>
    </row>
    <row r="51" spans="1:14" x14ac:dyDescent="0.3">
      <c r="A51" s="18" t="s">
        <v>206</v>
      </c>
      <c r="B51" s="19" t="s">
        <v>373</v>
      </c>
      <c r="C51" s="18" t="s">
        <v>375</v>
      </c>
      <c r="D51" s="18" t="s">
        <v>393</v>
      </c>
      <c r="E51" s="18" t="s">
        <v>397</v>
      </c>
      <c r="F51" s="18">
        <v>5</v>
      </c>
      <c r="G51" s="18">
        <v>4595</v>
      </c>
      <c r="H51" s="18">
        <f t="shared" si="0"/>
        <v>22975</v>
      </c>
      <c r="I51" s="18">
        <v>100000</v>
      </c>
      <c r="J51" s="18">
        <f t="shared" si="1"/>
        <v>-77025</v>
      </c>
      <c r="K51" s="20">
        <f t="shared" si="2"/>
        <v>0.22975000000000001</v>
      </c>
    </row>
    <row r="52" spans="1:14" x14ac:dyDescent="0.3">
      <c r="A52" s="18" t="s">
        <v>82</v>
      </c>
      <c r="B52" s="19" t="s">
        <v>280</v>
      </c>
      <c r="C52" s="18" t="s">
        <v>375</v>
      </c>
      <c r="D52" s="18" t="s">
        <v>393</v>
      </c>
      <c r="E52" s="18" t="s">
        <v>394</v>
      </c>
      <c r="F52" s="18">
        <v>6</v>
      </c>
      <c r="G52" s="18">
        <v>3774</v>
      </c>
      <c r="H52" s="18">
        <f t="shared" si="0"/>
        <v>22644</v>
      </c>
      <c r="I52" s="18">
        <v>50000</v>
      </c>
      <c r="J52" s="18">
        <f t="shared" si="1"/>
        <v>-27356</v>
      </c>
      <c r="K52" s="20">
        <f t="shared" si="2"/>
        <v>0.45288</v>
      </c>
    </row>
    <row r="53" spans="1:14" x14ac:dyDescent="0.3">
      <c r="A53" s="18" t="s">
        <v>46</v>
      </c>
      <c r="B53" s="19" t="s">
        <v>244</v>
      </c>
      <c r="C53" s="18" t="s">
        <v>375</v>
      </c>
      <c r="D53" s="18" t="s">
        <v>390</v>
      </c>
      <c r="E53" s="18" t="s">
        <v>398</v>
      </c>
      <c r="F53" s="18">
        <v>6</v>
      </c>
      <c r="G53" s="18">
        <v>3669</v>
      </c>
      <c r="H53" s="18">
        <f t="shared" si="0"/>
        <v>22014</v>
      </c>
      <c r="I53" s="18">
        <v>60000</v>
      </c>
      <c r="J53" s="18">
        <f t="shared" si="1"/>
        <v>-37986</v>
      </c>
      <c r="K53" s="20">
        <f t="shared" si="2"/>
        <v>0.3669</v>
      </c>
    </row>
    <row r="54" spans="1:14" x14ac:dyDescent="0.3">
      <c r="A54" s="18" t="s">
        <v>203</v>
      </c>
      <c r="B54" s="19" t="s">
        <v>243</v>
      </c>
      <c r="C54" s="18" t="s">
        <v>384</v>
      </c>
      <c r="D54" s="18" t="s">
        <v>392</v>
      </c>
      <c r="E54" s="18" t="s">
        <v>395</v>
      </c>
      <c r="F54" s="18">
        <v>9</v>
      </c>
      <c r="G54" s="18">
        <v>2432</v>
      </c>
      <c r="H54" s="18">
        <f t="shared" si="0"/>
        <v>21888</v>
      </c>
      <c r="I54" s="18">
        <v>70000</v>
      </c>
      <c r="J54" s="18">
        <f t="shared" si="1"/>
        <v>-48112</v>
      </c>
      <c r="K54" s="20">
        <f t="shared" si="2"/>
        <v>0.31268571428571429</v>
      </c>
    </row>
    <row r="55" spans="1:14" x14ac:dyDescent="0.3">
      <c r="A55" s="18" t="s">
        <v>171</v>
      </c>
      <c r="B55" s="19" t="s">
        <v>350</v>
      </c>
      <c r="C55" s="18" t="s">
        <v>403</v>
      </c>
      <c r="D55" s="18" t="s">
        <v>391</v>
      </c>
      <c r="E55" s="18" t="s">
        <v>398</v>
      </c>
      <c r="F55" s="18">
        <v>5</v>
      </c>
      <c r="G55" s="18">
        <v>4368</v>
      </c>
      <c r="H55" s="18">
        <f t="shared" si="0"/>
        <v>21840</v>
      </c>
      <c r="I55" s="18">
        <v>60000</v>
      </c>
      <c r="J55" s="18">
        <f t="shared" si="1"/>
        <v>-38160</v>
      </c>
      <c r="K55" s="20">
        <f t="shared" si="2"/>
        <v>0.36399999999999999</v>
      </c>
    </row>
    <row r="56" spans="1:14" x14ac:dyDescent="0.3">
      <c r="A56" s="18" t="s">
        <v>30</v>
      </c>
      <c r="B56" s="19" t="s">
        <v>229</v>
      </c>
      <c r="C56" s="18" t="s">
        <v>379</v>
      </c>
      <c r="D56" s="18" t="s">
        <v>390</v>
      </c>
      <c r="E56" s="18" t="s">
        <v>397</v>
      </c>
      <c r="F56" s="18">
        <v>9</v>
      </c>
      <c r="G56" s="18">
        <v>2385</v>
      </c>
      <c r="H56" s="18">
        <f t="shared" si="0"/>
        <v>21465</v>
      </c>
      <c r="I56" s="18">
        <v>100000</v>
      </c>
      <c r="J56" s="18">
        <f t="shared" si="1"/>
        <v>-78535</v>
      </c>
      <c r="K56" s="20">
        <f t="shared" si="2"/>
        <v>0.21465000000000001</v>
      </c>
    </row>
    <row r="57" spans="1:14" x14ac:dyDescent="0.3">
      <c r="A57" s="18" t="s">
        <v>109</v>
      </c>
      <c r="B57" s="19" t="s">
        <v>306</v>
      </c>
      <c r="C57" s="18" t="s">
        <v>386</v>
      </c>
      <c r="D57" s="18" t="s">
        <v>390</v>
      </c>
      <c r="E57" s="18" t="s">
        <v>398</v>
      </c>
      <c r="F57" s="18">
        <v>6</v>
      </c>
      <c r="G57" s="18">
        <v>3512</v>
      </c>
      <c r="H57" s="18">
        <f t="shared" si="0"/>
        <v>21072</v>
      </c>
      <c r="I57" s="18">
        <v>60000</v>
      </c>
      <c r="J57" s="18">
        <f t="shared" si="1"/>
        <v>-38928</v>
      </c>
      <c r="K57" s="20">
        <f t="shared" si="2"/>
        <v>0.35120000000000001</v>
      </c>
    </row>
    <row r="58" spans="1:14" x14ac:dyDescent="0.3">
      <c r="A58" s="18" t="s">
        <v>174</v>
      </c>
      <c r="B58" s="19" t="s">
        <v>352</v>
      </c>
      <c r="C58" s="18" t="s">
        <v>382</v>
      </c>
      <c r="D58" s="18" t="s">
        <v>390</v>
      </c>
      <c r="E58" s="18" t="s">
        <v>394</v>
      </c>
      <c r="F58" s="18">
        <v>0</v>
      </c>
      <c r="G58" s="18">
        <v>2984</v>
      </c>
      <c r="H58" s="18">
        <f t="shared" si="0"/>
        <v>0</v>
      </c>
      <c r="I58" s="18">
        <v>50000</v>
      </c>
      <c r="J58" s="18">
        <f t="shared" si="1"/>
        <v>-50000</v>
      </c>
      <c r="K58" s="20">
        <f t="shared" si="2"/>
        <v>0</v>
      </c>
    </row>
    <row r="59" spans="1:14" x14ac:dyDescent="0.3">
      <c r="A59" s="18" t="s">
        <v>198</v>
      </c>
      <c r="B59" s="19" t="s">
        <v>300</v>
      </c>
      <c r="C59" s="18" t="s">
        <v>377</v>
      </c>
      <c r="D59" s="18" t="s">
        <v>390</v>
      </c>
      <c r="E59" s="18" t="s">
        <v>395</v>
      </c>
      <c r="F59" s="18">
        <v>8</v>
      </c>
      <c r="G59" s="18">
        <v>2544</v>
      </c>
      <c r="H59" s="18">
        <f t="shared" si="0"/>
        <v>20352</v>
      </c>
      <c r="I59" s="18">
        <v>70000</v>
      </c>
      <c r="J59" s="18">
        <f t="shared" si="1"/>
        <v>-49648</v>
      </c>
      <c r="K59" s="20">
        <f t="shared" si="2"/>
        <v>0.29074285714285714</v>
      </c>
    </row>
    <row r="60" spans="1:14" x14ac:dyDescent="0.3">
      <c r="A60" s="18" t="s">
        <v>97</v>
      </c>
      <c r="B60" s="19" t="s">
        <v>295</v>
      </c>
      <c r="C60" s="18" t="s">
        <v>385</v>
      </c>
      <c r="D60" s="18" t="s">
        <v>393</v>
      </c>
      <c r="E60" s="18" t="s">
        <v>397</v>
      </c>
      <c r="F60" s="18">
        <v>9</v>
      </c>
      <c r="G60" s="18">
        <v>2241</v>
      </c>
      <c r="H60" s="18">
        <f t="shared" si="0"/>
        <v>20169</v>
      </c>
      <c r="I60" s="18">
        <v>100000</v>
      </c>
      <c r="J60" s="18">
        <f t="shared" si="1"/>
        <v>-79831</v>
      </c>
      <c r="K60" s="20">
        <f t="shared" si="2"/>
        <v>0.20169000000000001</v>
      </c>
    </row>
    <row r="61" spans="1:14" x14ac:dyDescent="0.3">
      <c r="A61" s="18" t="s">
        <v>192</v>
      </c>
      <c r="B61" s="19" t="s">
        <v>257</v>
      </c>
      <c r="C61" s="18" t="s">
        <v>389</v>
      </c>
      <c r="D61" s="18" t="s">
        <v>391</v>
      </c>
      <c r="E61" s="18" t="s">
        <v>398</v>
      </c>
      <c r="F61" s="18">
        <v>5</v>
      </c>
      <c r="G61" s="18">
        <v>3964</v>
      </c>
      <c r="H61" s="18">
        <f t="shared" si="0"/>
        <v>19820</v>
      </c>
      <c r="I61" s="18">
        <v>60000</v>
      </c>
      <c r="J61" s="18">
        <f t="shared" si="1"/>
        <v>-40180</v>
      </c>
      <c r="K61" s="20">
        <f t="shared" si="2"/>
        <v>0.33033333333333331</v>
      </c>
    </row>
    <row r="62" spans="1:14" x14ac:dyDescent="0.3">
      <c r="A62" s="18" t="s">
        <v>60</v>
      </c>
      <c r="B62" s="19" t="s">
        <v>258</v>
      </c>
      <c r="C62" s="18" t="s">
        <v>379</v>
      </c>
      <c r="D62" s="18" t="s">
        <v>393</v>
      </c>
      <c r="E62" s="18" t="s">
        <v>396</v>
      </c>
      <c r="F62" s="18">
        <v>5</v>
      </c>
      <c r="G62" s="18">
        <v>3945</v>
      </c>
      <c r="H62" s="18">
        <f t="shared" si="0"/>
        <v>19725</v>
      </c>
      <c r="I62" s="18">
        <v>75000</v>
      </c>
      <c r="J62" s="18">
        <f t="shared" si="1"/>
        <v>-55275</v>
      </c>
      <c r="K62" s="20">
        <f t="shared" si="2"/>
        <v>0.26300000000000001</v>
      </c>
    </row>
    <row r="63" spans="1:14" x14ac:dyDescent="0.3">
      <c r="A63" s="18" t="s">
        <v>53</v>
      </c>
      <c r="B63" s="19" t="s">
        <v>251</v>
      </c>
      <c r="C63" s="18" t="s">
        <v>380</v>
      </c>
      <c r="D63" s="18" t="s">
        <v>390</v>
      </c>
      <c r="E63" s="18" t="s">
        <v>398</v>
      </c>
      <c r="F63" s="18">
        <v>5</v>
      </c>
      <c r="G63" s="18">
        <v>3927</v>
      </c>
      <c r="H63" s="18">
        <f t="shared" si="0"/>
        <v>19635</v>
      </c>
      <c r="I63" s="18">
        <v>60000</v>
      </c>
      <c r="J63" s="18">
        <f t="shared" si="1"/>
        <v>-40365</v>
      </c>
      <c r="K63" s="20">
        <f t="shared" si="2"/>
        <v>0.32724999999999999</v>
      </c>
    </row>
    <row r="64" spans="1:14" x14ac:dyDescent="0.3">
      <c r="A64" s="18" t="s">
        <v>152</v>
      </c>
      <c r="B64" s="19" t="s">
        <v>338</v>
      </c>
      <c r="C64" s="18" t="s">
        <v>377</v>
      </c>
      <c r="D64" s="18" t="s">
        <v>391</v>
      </c>
      <c r="E64" s="18" t="s">
        <v>394</v>
      </c>
      <c r="F64" s="18">
        <v>5</v>
      </c>
      <c r="G64" s="18">
        <v>3919</v>
      </c>
      <c r="H64" s="18">
        <f t="shared" si="0"/>
        <v>19595</v>
      </c>
      <c r="I64" s="18">
        <v>50000</v>
      </c>
      <c r="J64" s="18">
        <f t="shared" si="1"/>
        <v>-30405</v>
      </c>
      <c r="K64" s="20">
        <f t="shared" si="2"/>
        <v>0.39190000000000003</v>
      </c>
    </row>
    <row r="65" spans="1:11" x14ac:dyDescent="0.3">
      <c r="A65" s="18" t="s">
        <v>184</v>
      </c>
      <c r="B65" s="19" t="s">
        <v>360</v>
      </c>
      <c r="C65" s="18" t="s">
        <v>375</v>
      </c>
      <c r="D65" s="18" t="s">
        <v>392</v>
      </c>
      <c r="E65" s="18" t="s">
        <v>395</v>
      </c>
      <c r="F65" s="18">
        <v>7</v>
      </c>
      <c r="G65" s="18">
        <v>2794</v>
      </c>
      <c r="H65" s="18">
        <f t="shared" si="0"/>
        <v>19558</v>
      </c>
      <c r="I65" s="18">
        <v>70000</v>
      </c>
      <c r="J65" s="18">
        <f t="shared" si="1"/>
        <v>-50442</v>
      </c>
      <c r="K65" s="20">
        <f t="shared" si="2"/>
        <v>0.27939999999999998</v>
      </c>
    </row>
    <row r="66" spans="1:11" x14ac:dyDescent="0.3">
      <c r="A66" s="18" t="s">
        <v>136</v>
      </c>
      <c r="B66" s="19" t="s">
        <v>328</v>
      </c>
      <c r="C66" s="18" t="s">
        <v>376</v>
      </c>
      <c r="D66" s="18" t="s">
        <v>392</v>
      </c>
      <c r="E66" s="18" t="s">
        <v>394</v>
      </c>
      <c r="F66" s="18">
        <v>8</v>
      </c>
      <c r="G66" s="18">
        <v>2419</v>
      </c>
      <c r="H66" s="18">
        <f t="shared" si="0"/>
        <v>19352</v>
      </c>
      <c r="I66" s="18">
        <v>50000</v>
      </c>
      <c r="J66" s="18">
        <f t="shared" si="1"/>
        <v>-30648</v>
      </c>
      <c r="K66" s="20">
        <f t="shared" si="2"/>
        <v>0.38704</v>
      </c>
    </row>
    <row r="67" spans="1:11" x14ac:dyDescent="0.3">
      <c r="A67" s="18" t="s">
        <v>200</v>
      </c>
      <c r="B67" s="19" t="s">
        <v>370</v>
      </c>
      <c r="C67" s="18" t="s">
        <v>383</v>
      </c>
      <c r="D67" s="18" t="s">
        <v>390</v>
      </c>
      <c r="E67" s="18" t="s">
        <v>397</v>
      </c>
      <c r="F67" s="18">
        <v>5</v>
      </c>
      <c r="G67" s="18">
        <v>3811</v>
      </c>
      <c r="H67" s="18">
        <f t="shared" ref="H67:H130" si="3">F67*G67</f>
        <v>19055</v>
      </c>
      <c r="I67" s="18">
        <v>100000</v>
      </c>
      <c r="J67" s="18">
        <f t="shared" ref="J67:J130" si="4">H67-I67</f>
        <v>-80945</v>
      </c>
      <c r="K67" s="20">
        <f t="shared" ref="K67:K130" si="5">H67/I67</f>
        <v>0.19055</v>
      </c>
    </row>
    <row r="68" spans="1:11" x14ac:dyDescent="0.3">
      <c r="A68" s="18" t="s">
        <v>100</v>
      </c>
      <c r="B68" s="19" t="s">
        <v>298</v>
      </c>
      <c r="C68" s="18" t="s">
        <v>386</v>
      </c>
      <c r="D68" s="18" t="s">
        <v>391</v>
      </c>
      <c r="E68" s="18" t="s">
        <v>398</v>
      </c>
      <c r="F68" s="18">
        <v>8</v>
      </c>
      <c r="G68" s="18">
        <v>2323</v>
      </c>
      <c r="H68" s="18">
        <f t="shared" si="3"/>
        <v>18584</v>
      </c>
      <c r="I68" s="18">
        <v>60000</v>
      </c>
      <c r="J68" s="18">
        <f t="shared" si="4"/>
        <v>-41416</v>
      </c>
      <c r="K68" s="20">
        <f t="shared" si="5"/>
        <v>0.30973333333333336</v>
      </c>
    </row>
    <row r="69" spans="1:11" x14ac:dyDescent="0.3">
      <c r="A69" s="18" t="s">
        <v>33</v>
      </c>
      <c r="B69" s="19" t="s">
        <v>231</v>
      </c>
      <c r="C69" s="18" t="s">
        <v>382</v>
      </c>
      <c r="D69" s="18" t="s">
        <v>392</v>
      </c>
      <c r="E69" s="18" t="s">
        <v>395</v>
      </c>
      <c r="F69" s="18">
        <v>10</v>
      </c>
      <c r="G69" s="18">
        <v>1829</v>
      </c>
      <c r="H69" s="18">
        <f t="shared" si="3"/>
        <v>18290</v>
      </c>
      <c r="I69" s="18">
        <v>70000</v>
      </c>
      <c r="J69" s="18">
        <f t="shared" si="4"/>
        <v>-51710</v>
      </c>
      <c r="K69" s="20">
        <f t="shared" si="5"/>
        <v>0.26128571428571429</v>
      </c>
    </row>
    <row r="70" spans="1:11" x14ac:dyDescent="0.3">
      <c r="A70" s="18" t="s">
        <v>153</v>
      </c>
      <c r="B70" s="19" t="s">
        <v>241</v>
      </c>
      <c r="C70" s="18" t="s">
        <v>383</v>
      </c>
      <c r="D70" s="18" t="s">
        <v>391</v>
      </c>
      <c r="E70" s="18" t="s">
        <v>394</v>
      </c>
      <c r="F70" s="18">
        <v>10</v>
      </c>
      <c r="G70" s="18">
        <v>1820</v>
      </c>
      <c r="H70" s="18">
        <f t="shared" si="3"/>
        <v>18200</v>
      </c>
      <c r="I70" s="18">
        <v>50000</v>
      </c>
      <c r="J70" s="18">
        <f t="shared" si="4"/>
        <v>-31800</v>
      </c>
      <c r="K70" s="20">
        <f t="shared" si="5"/>
        <v>0.36399999999999999</v>
      </c>
    </row>
    <row r="71" spans="1:11" x14ac:dyDescent="0.3">
      <c r="A71" s="18" t="s">
        <v>67</v>
      </c>
      <c r="B71" s="19" t="s">
        <v>265</v>
      </c>
      <c r="C71" s="18" t="s">
        <v>403</v>
      </c>
      <c r="D71" s="18" t="s">
        <v>392</v>
      </c>
      <c r="E71" s="18" t="s">
        <v>395</v>
      </c>
      <c r="F71" s="18">
        <v>8</v>
      </c>
      <c r="G71" s="18">
        <v>2257</v>
      </c>
      <c r="H71" s="18">
        <f t="shared" si="3"/>
        <v>18056</v>
      </c>
      <c r="I71" s="18">
        <v>70000</v>
      </c>
      <c r="J71" s="18">
        <f t="shared" si="4"/>
        <v>-51944</v>
      </c>
      <c r="K71" s="20">
        <f t="shared" si="5"/>
        <v>0.25794285714285714</v>
      </c>
    </row>
    <row r="72" spans="1:11" x14ac:dyDescent="0.3">
      <c r="A72" s="18" t="s">
        <v>86</v>
      </c>
      <c r="B72" s="19" t="s">
        <v>284</v>
      </c>
      <c r="C72" s="18" t="s">
        <v>376</v>
      </c>
      <c r="D72" s="18" t="s">
        <v>392</v>
      </c>
      <c r="E72" s="18" t="s">
        <v>395</v>
      </c>
      <c r="F72" s="18">
        <v>5</v>
      </c>
      <c r="G72" s="18">
        <v>3545</v>
      </c>
      <c r="H72" s="18">
        <f t="shared" si="3"/>
        <v>17725</v>
      </c>
      <c r="I72" s="18">
        <v>70000</v>
      </c>
      <c r="J72" s="18">
        <f t="shared" si="4"/>
        <v>-52275</v>
      </c>
      <c r="K72" s="20">
        <f t="shared" si="5"/>
        <v>0.25321428571428573</v>
      </c>
    </row>
    <row r="73" spans="1:11" x14ac:dyDescent="0.3">
      <c r="A73" s="18" t="s">
        <v>83</v>
      </c>
      <c r="B73" s="19" t="s">
        <v>281</v>
      </c>
      <c r="C73" s="18" t="s">
        <v>381</v>
      </c>
      <c r="D73" s="18" t="s">
        <v>390</v>
      </c>
      <c r="E73" s="18" t="s">
        <v>398</v>
      </c>
      <c r="F73" s="18">
        <v>10</v>
      </c>
      <c r="G73" s="18">
        <v>1757</v>
      </c>
      <c r="H73" s="18">
        <f t="shared" si="3"/>
        <v>17570</v>
      </c>
      <c r="I73" s="18">
        <v>60000</v>
      </c>
      <c r="J73" s="18">
        <f t="shared" si="4"/>
        <v>-42430</v>
      </c>
      <c r="K73" s="20">
        <f t="shared" si="5"/>
        <v>0.29283333333333333</v>
      </c>
    </row>
    <row r="74" spans="1:11" x14ac:dyDescent="0.3">
      <c r="A74" s="18" t="s">
        <v>156</v>
      </c>
      <c r="B74" s="19" t="s">
        <v>340</v>
      </c>
      <c r="C74" s="18" t="s">
        <v>386</v>
      </c>
      <c r="D74" s="18" t="s">
        <v>390</v>
      </c>
      <c r="E74" s="18" t="s">
        <v>398</v>
      </c>
      <c r="F74" s="18">
        <v>5</v>
      </c>
      <c r="G74" s="18">
        <v>3497</v>
      </c>
      <c r="H74" s="18">
        <f t="shared" si="3"/>
        <v>17485</v>
      </c>
      <c r="I74" s="18">
        <v>60000</v>
      </c>
      <c r="J74" s="18">
        <f t="shared" si="4"/>
        <v>-42515</v>
      </c>
      <c r="K74" s="20">
        <f t="shared" si="5"/>
        <v>0.29141666666666666</v>
      </c>
    </row>
    <row r="75" spans="1:11" x14ac:dyDescent="0.3">
      <c r="A75" s="18" t="s">
        <v>10</v>
      </c>
      <c r="B75" s="19" t="s">
        <v>210</v>
      </c>
      <c r="C75" s="18" t="s">
        <v>377</v>
      </c>
      <c r="D75" s="18" t="s">
        <v>390</v>
      </c>
      <c r="E75" s="18" t="s">
        <v>396</v>
      </c>
      <c r="F75" s="18">
        <v>4</v>
      </c>
      <c r="G75" s="18">
        <v>4339</v>
      </c>
      <c r="H75" s="18">
        <f t="shared" si="3"/>
        <v>17356</v>
      </c>
      <c r="I75" s="18">
        <v>75000</v>
      </c>
      <c r="J75" s="18">
        <f t="shared" si="4"/>
        <v>-57644</v>
      </c>
      <c r="K75" s="20">
        <f t="shared" si="5"/>
        <v>0.23141333333333333</v>
      </c>
    </row>
    <row r="76" spans="1:11" x14ac:dyDescent="0.3">
      <c r="A76" s="18" t="s">
        <v>18</v>
      </c>
      <c r="B76" s="19" t="s">
        <v>218</v>
      </c>
      <c r="C76" s="18" t="s">
        <v>382</v>
      </c>
      <c r="D76" s="18" t="s">
        <v>391</v>
      </c>
      <c r="E76" s="18" t="s">
        <v>397</v>
      </c>
      <c r="F76" s="18">
        <v>7</v>
      </c>
      <c r="G76" s="18">
        <v>2477</v>
      </c>
      <c r="H76" s="18">
        <f t="shared" si="3"/>
        <v>17339</v>
      </c>
      <c r="I76" s="18">
        <v>100000</v>
      </c>
      <c r="J76" s="18">
        <f t="shared" si="4"/>
        <v>-82661</v>
      </c>
      <c r="K76" s="20">
        <f t="shared" si="5"/>
        <v>0.17338999999999999</v>
      </c>
    </row>
    <row r="77" spans="1:11" x14ac:dyDescent="0.3">
      <c r="A77" s="18" t="s">
        <v>101</v>
      </c>
      <c r="B77" s="19" t="s">
        <v>299</v>
      </c>
      <c r="C77" s="18" t="s">
        <v>382</v>
      </c>
      <c r="D77" s="18" t="s">
        <v>392</v>
      </c>
      <c r="E77" s="18" t="s">
        <v>395</v>
      </c>
      <c r="F77" s="18">
        <v>8</v>
      </c>
      <c r="G77" s="18">
        <v>2159</v>
      </c>
      <c r="H77" s="18">
        <f t="shared" si="3"/>
        <v>17272</v>
      </c>
      <c r="I77" s="18">
        <v>70000</v>
      </c>
      <c r="J77" s="18">
        <f t="shared" si="4"/>
        <v>-52728</v>
      </c>
      <c r="K77" s="20">
        <f t="shared" si="5"/>
        <v>0.24674285714285715</v>
      </c>
    </row>
    <row r="78" spans="1:11" x14ac:dyDescent="0.3">
      <c r="A78" s="18" t="s">
        <v>191</v>
      </c>
      <c r="B78" s="19" t="s">
        <v>322</v>
      </c>
      <c r="C78" s="18" t="s">
        <v>382</v>
      </c>
      <c r="D78" s="18" t="s">
        <v>393</v>
      </c>
      <c r="E78" s="18" t="s">
        <v>395</v>
      </c>
      <c r="F78" s="18">
        <v>4</v>
      </c>
      <c r="G78" s="18">
        <v>4276</v>
      </c>
      <c r="H78" s="18">
        <f t="shared" si="3"/>
        <v>17104</v>
      </c>
      <c r="I78" s="18">
        <v>70000</v>
      </c>
      <c r="J78" s="18">
        <f t="shared" si="4"/>
        <v>-52896</v>
      </c>
      <c r="K78" s="20">
        <f t="shared" si="5"/>
        <v>0.24434285714285714</v>
      </c>
    </row>
    <row r="79" spans="1:11" x14ac:dyDescent="0.3">
      <c r="A79" s="18" t="s">
        <v>138</v>
      </c>
      <c r="B79" s="19" t="s">
        <v>330</v>
      </c>
      <c r="C79" s="18" t="s">
        <v>376</v>
      </c>
      <c r="D79" s="18" t="s">
        <v>391</v>
      </c>
      <c r="E79" s="18" t="s">
        <v>396</v>
      </c>
      <c r="F79" s="18">
        <v>4</v>
      </c>
      <c r="G79" s="18">
        <v>4166</v>
      </c>
      <c r="H79" s="18">
        <f t="shared" si="3"/>
        <v>16664</v>
      </c>
      <c r="I79" s="18">
        <v>75000</v>
      </c>
      <c r="J79" s="18">
        <f t="shared" si="4"/>
        <v>-58336</v>
      </c>
      <c r="K79" s="20">
        <f t="shared" si="5"/>
        <v>0.22218666666666667</v>
      </c>
    </row>
    <row r="80" spans="1:11" x14ac:dyDescent="0.3">
      <c r="A80" s="18" t="s">
        <v>39</v>
      </c>
      <c r="B80" s="19" t="s">
        <v>237</v>
      </c>
      <c r="C80" s="18" t="s">
        <v>382</v>
      </c>
      <c r="D80" s="18" t="s">
        <v>393</v>
      </c>
      <c r="E80" s="18" t="s">
        <v>396</v>
      </c>
      <c r="F80" s="18">
        <v>9</v>
      </c>
      <c r="G80" s="18">
        <v>1847</v>
      </c>
      <c r="H80" s="18">
        <f t="shared" si="3"/>
        <v>16623</v>
      </c>
      <c r="I80" s="18">
        <v>75000</v>
      </c>
      <c r="J80" s="18">
        <f t="shared" si="4"/>
        <v>-58377</v>
      </c>
      <c r="K80" s="20">
        <f t="shared" si="5"/>
        <v>0.22164</v>
      </c>
    </row>
    <row r="81" spans="1:11" x14ac:dyDescent="0.3">
      <c r="A81" s="18" t="s">
        <v>118</v>
      </c>
      <c r="B81" s="19" t="s">
        <v>313</v>
      </c>
      <c r="C81" s="18" t="s">
        <v>386</v>
      </c>
      <c r="D81" s="18" t="s">
        <v>390</v>
      </c>
      <c r="E81" s="18" t="s">
        <v>395</v>
      </c>
      <c r="F81" s="18">
        <v>4</v>
      </c>
      <c r="G81" s="18">
        <v>4009</v>
      </c>
      <c r="H81" s="18">
        <f t="shared" si="3"/>
        <v>16036</v>
      </c>
      <c r="I81" s="18">
        <v>70000</v>
      </c>
      <c r="J81" s="18">
        <f t="shared" si="4"/>
        <v>-53964</v>
      </c>
      <c r="K81" s="20">
        <f t="shared" si="5"/>
        <v>0.22908571428571428</v>
      </c>
    </row>
    <row r="82" spans="1:11" x14ac:dyDescent="0.3">
      <c r="A82" s="18" t="s">
        <v>20</v>
      </c>
      <c r="B82" s="19" t="s">
        <v>220</v>
      </c>
      <c r="C82" s="18" t="s">
        <v>383</v>
      </c>
      <c r="D82" s="18" t="s">
        <v>392</v>
      </c>
      <c r="E82" s="18" t="s">
        <v>397</v>
      </c>
      <c r="F82" s="18">
        <v>10</v>
      </c>
      <c r="G82" s="18">
        <v>1601</v>
      </c>
      <c r="H82" s="18">
        <f t="shared" si="3"/>
        <v>16010</v>
      </c>
      <c r="I82" s="18">
        <v>100000</v>
      </c>
      <c r="J82" s="18">
        <f t="shared" si="4"/>
        <v>-83990</v>
      </c>
      <c r="K82" s="20">
        <f t="shared" si="5"/>
        <v>0.16009999999999999</v>
      </c>
    </row>
    <row r="83" spans="1:11" x14ac:dyDescent="0.3">
      <c r="A83" s="18" t="s">
        <v>114</v>
      </c>
      <c r="B83" s="19" t="s">
        <v>285</v>
      </c>
      <c r="C83" s="18" t="s">
        <v>387</v>
      </c>
      <c r="D83" s="18" t="s">
        <v>393</v>
      </c>
      <c r="E83" s="18" t="s">
        <v>394</v>
      </c>
      <c r="F83" s="18">
        <v>7</v>
      </c>
      <c r="G83" s="18">
        <v>2266</v>
      </c>
      <c r="H83" s="18">
        <f t="shared" si="3"/>
        <v>15862</v>
      </c>
      <c r="I83" s="18">
        <v>50000</v>
      </c>
      <c r="J83" s="18">
        <f t="shared" si="4"/>
        <v>-34138</v>
      </c>
      <c r="K83" s="20">
        <f t="shared" si="5"/>
        <v>0.31724000000000002</v>
      </c>
    </row>
    <row r="84" spans="1:11" x14ac:dyDescent="0.3">
      <c r="A84" s="18" t="s">
        <v>172</v>
      </c>
      <c r="B84" s="19" t="s">
        <v>351</v>
      </c>
      <c r="C84" s="18" t="s">
        <v>380</v>
      </c>
      <c r="D84" s="18" t="s">
        <v>393</v>
      </c>
      <c r="E84" s="18" t="s">
        <v>398</v>
      </c>
      <c r="F84" s="18">
        <v>4</v>
      </c>
      <c r="G84" s="18">
        <v>3941</v>
      </c>
      <c r="H84" s="18">
        <f t="shared" si="3"/>
        <v>15764</v>
      </c>
      <c r="I84" s="18">
        <v>60000</v>
      </c>
      <c r="J84" s="18">
        <f t="shared" si="4"/>
        <v>-44236</v>
      </c>
      <c r="K84" s="20">
        <f t="shared" si="5"/>
        <v>0.26273333333333332</v>
      </c>
    </row>
    <row r="85" spans="1:11" x14ac:dyDescent="0.3">
      <c r="A85" s="18" t="s">
        <v>113</v>
      </c>
      <c r="B85" s="19" t="s">
        <v>249</v>
      </c>
      <c r="C85" s="18" t="s">
        <v>379</v>
      </c>
      <c r="D85" s="18" t="s">
        <v>393</v>
      </c>
      <c r="E85" s="18" t="s">
        <v>394</v>
      </c>
      <c r="F85" s="18">
        <v>4</v>
      </c>
      <c r="G85" s="18">
        <v>3924</v>
      </c>
      <c r="H85" s="18">
        <f t="shared" si="3"/>
        <v>15696</v>
      </c>
      <c r="I85" s="18">
        <v>50000</v>
      </c>
      <c r="J85" s="18">
        <f t="shared" si="4"/>
        <v>-34304</v>
      </c>
      <c r="K85" s="20">
        <f t="shared" si="5"/>
        <v>0.31391999999999998</v>
      </c>
    </row>
    <row r="86" spans="1:11" x14ac:dyDescent="0.3">
      <c r="A86" s="18" t="s">
        <v>188</v>
      </c>
      <c r="B86" s="19" t="s">
        <v>364</v>
      </c>
      <c r="C86" s="18" t="s">
        <v>377</v>
      </c>
      <c r="D86" s="18" t="s">
        <v>392</v>
      </c>
      <c r="E86" s="18" t="s">
        <v>397</v>
      </c>
      <c r="F86" s="18">
        <v>5</v>
      </c>
      <c r="G86" s="18">
        <v>3136</v>
      </c>
      <c r="H86" s="18">
        <f t="shared" si="3"/>
        <v>15680</v>
      </c>
      <c r="I86" s="18">
        <v>100000</v>
      </c>
      <c r="J86" s="18">
        <f t="shared" si="4"/>
        <v>-84320</v>
      </c>
      <c r="K86" s="20">
        <f t="shared" si="5"/>
        <v>0.15679999999999999</v>
      </c>
    </row>
    <row r="87" spans="1:11" x14ac:dyDescent="0.3">
      <c r="A87" s="18" t="s">
        <v>44</v>
      </c>
      <c r="B87" s="19" t="s">
        <v>242</v>
      </c>
      <c r="C87" s="18" t="s">
        <v>375</v>
      </c>
      <c r="D87" s="18" t="s">
        <v>391</v>
      </c>
      <c r="E87" s="18" t="s">
        <v>394</v>
      </c>
      <c r="F87" s="18">
        <v>8</v>
      </c>
      <c r="G87" s="18">
        <v>1955</v>
      </c>
      <c r="H87" s="18">
        <f t="shared" si="3"/>
        <v>15640</v>
      </c>
      <c r="I87" s="18">
        <v>50000</v>
      </c>
      <c r="J87" s="18">
        <f t="shared" si="4"/>
        <v>-34360</v>
      </c>
      <c r="K87" s="20">
        <f t="shared" si="5"/>
        <v>0.31280000000000002</v>
      </c>
    </row>
    <row r="88" spans="1:11" x14ac:dyDescent="0.3">
      <c r="A88" s="18" t="s">
        <v>95</v>
      </c>
      <c r="B88" s="19" t="s">
        <v>293</v>
      </c>
      <c r="C88" s="18" t="s">
        <v>376</v>
      </c>
      <c r="D88" s="18" t="s">
        <v>393</v>
      </c>
      <c r="E88" s="18" t="s">
        <v>398</v>
      </c>
      <c r="F88" s="18">
        <v>7</v>
      </c>
      <c r="G88" s="18">
        <v>2198</v>
      </c>
      <c r="H88" s="18">
        <f t="shared" si="3"/>
        <v>15386</v>
      </c>
      <c r="I88" s="18">
        <v>60000</v>
      </c>
      <c r="J88" s="18">
        <f t="shared" si="4"/>
        <v>-44614</v>
      </c>
      <c r="K88" s="20">
        <f t="shared" si="5"/>
        <v>0.25643333333333335</v>
      </c>
    </row>
    <row r="89" spans="1:11" x14ac:dyDescent="0.3">
      <c r="A89" s="18" t="s">
        <v>63</v>
      </c>
      <c r="B89" s="19" t="s">
        <v>261</v>
      </c>
      <c r="C89" s="18" t="s">
        <v>384</v>
      </c>
      <c r="D89" s="18" t="s">
        <v>390</v>
      </c>
      <c r="E89" s="18" t="s">
        <v>396</v>
      </c>
      <c r="F89" s="18">
        <v>6</v>
      </c>
      <c r="G89" s="18">
        <v>2534</v>
      </c>
      <c r="H89" s="18">
        <f t="shared" si="3"/>
        <v>15204</v>
      </c>
      <c r="I89" s="18">
        <v>75000</v>
      </c>
      <c r="J89" s="18">
        <f t="shared" si="4"/>
        <v>-59796</v>
      </c>
      <c r="K89" s="20">
        <f t="shared" si="5"/>
        <v>0.20272000000000001</v>
      </c>
    </row>
    <row r="90" spans="1:11" x14ac:dyDescent="0.3">
      <c r="A90" s="18" t="s">
        <v>160</v>
      </c>
      <c r="B90" s="19" t="s">
        <v>343</v>
      </c>
      <c r="C90" s="18" t="s">
        <v>386</v>
      </c>
      <c r="D90" s="18" t="s">
        <v>393</v>
      </c>
      <c r="E90" s="18" t="s">
        <v>394</v>
      </c>
      <c r="F90" s="18">
        <v>3</v>
      </c>
      <c r="G90" s="18">
        <v>4995</v>
      </c>
      <c r="H90" s="18">
        <f t="shared" si="3"/>
        <v>14985</v>
      </c>
      <c r="I90" s="18">
        <v>50000</v>
      </c>
      <c r="J90" s="18">
        <f t="shared" si="4"/>
        <v>-35015</v>
      </c>
      <c r="K90" s="20">
        <f t="shared" si="5"/>
        <v>0.29970000000000002</v>
      </c>
    </row>
    <row r="91" spans="1:11" x14ac:dyDescent="0.3">
      <c r="A91" s="18" t="s">
        <v>164</v>
      </c>
      <c r="B91" s="19" t="s">
        <v>346</v>
      </c>
      <c r="C91" s="18" t="s">
        <v>386</v>
      </c>
      <c r="D91" s="18" t="s">
        <v>390</v>
      </c>
      <c r="E91" s="18" t="s">
        <v>475</v>
      </c>
      <c r="F91" s="18">
        <v>5</v>
      </c>
      <c r="G91" s="18">
        <v>2848</v>
      </c>
      <c r="H91" s="18">
        <f t="shared" si="3"/>
        <v>14240</v>
      </c>
      <c r="I91" s="18">
        <v>20000</v>
      </c>
      <c r="J91" s="18">
        <f t="shared" si="4"/>
        <v>-5760</v>
      </c>
      <c r="K91" s="20">
        <f t="shared" si="5"/>
        <v>0.71199999999999997</v>
      </c>
    </row>
    <row r="92" spans="1:11" x14ac:dyDescent="0.3">
      <c r="A92" s="18" t="s">
        <v>14</v>
      </c>
      <c r="B92" s="19" t="s">
        <v>214</v>
      </c>
      <c r="C92" s="18" t="s">
        <v>380</v>
      </c>
      <c r="D92" s="18" t="s">
        <v>403</v>
      </c>
      <c r="E92" s="18" t="s">
        <v>394</v>
      </c>
      <c r="F92" s="18">
        <v>6</v>
      </c>
      <c r="G92" s="18">
        <v>2366</v>
      </c>
      <c r="H92" s="18">
        <f t="shared" si="3"/>
        <v>14196</v>
      </c>
      <c r="I92" s="18">
        <v>50000</v>
      </c>
      <c r="J92" s="18">
        <f t="shared" si="4"/>
        <v>-35804</v>
      </c>
      <c r="K92" s="20">
        <f t="shared" si="5"/>
        <v>0.28392000000000001</v>
      </c>
    </row>
    <row r="93" spans="1:11" x14ac:dyDescent="0.3">
      <c r="A93" s="18" t="s">
        <v>11</v>
      </c>
      <c r="B93" s="19" t="s">
        <v>211</v>
      </c>
      <c r="C93" s="18" t="s">
        <v>377</v>
      </c>
      <c r="D93" s="18" t="s">
        <v>391</v>
      </c>
      <c r="E93" s="18" t="s">
        <v>395</v>
      </c>
      <c r="F93" s="18">
        <v>7</v>
      </c>
      <c r="G93" s="18">
        <v>2005</v>
      </c>
      <c r="H93" s="18">
        <f t="shared" si="3"/>
        <v>14035</v>
      </c>
      <c r="I93" s="18">
        <v>70000</v>
      </c>
      <c r="J93" s="18">
        <f t="shared" si="4"/>
        <v>-55965</v>
      </c>
      <c r="K93" s="20">
        <f t="shared" si="5"/>
        <v>0.20050000000000001</v>
      </c>
    </row>
    <row r="94" spans="1:11" x14ac:dyDescent="0.3">
      <c r="A94" s="18" t="s">
        <v>96</v>
      </c>
      <c r="B94" s="19" t="s">
        <v>294</v>
      </c>
      <c r="C94" s="18" t="s">
        <v>383</v>
      </c>
      <c r="D94" s="18" t="s">
        <v>390</v>
      </c>
      <c r="E94" s="18" t="s">
        <v>397</v>
      </c>
      <c r="F94" s="18">
        <v>7</v>
      </c>
      <c r="G94" s="18">
        <v>1992</v>
      </c>
      <c r="H94" s="18">
        <f t="shared" si="3"/>
        <v>13944</v>
      </c>
      <c r="I94" s="18">
        <v>100000</v>
      </c>
      <c r="J94" s="18">
        <f t="shared" si="4"/>
        <v>-86056</v>
      </c>
      <c r="K94" s="20">
        <f t="shared" si="5"/>
        <v>0.13944000000000001</v>
      </c>
    </row>
    <row r="95" spans="1:11" x14ac:dyDescent="0.3">
      <c r="A95" s="18" t="s">
        <v>130</v>
      </c>
      <c r="B95" s="19" t="s">
        <v>323</v>
      </c>
      <c r="C95" s="18" t="s">
        <v>389</v>
      </c>
      <c r="D95" s="18" t="s">
        <v>393</v>
      </c>
      <c r="E95" s="18" t="s">
        <v>396</v>
      </c>
      <c r="F95" s="18">
        <v>6</v>
      </c>
      <c r="G95" s="18">
        <v>2316</v>
      </c>
      <c r="H95" s="18">
        <f t="shared" si="3"/>
        <v>13896</v>
      </c>
      <c r="I95" s="18">
        <v>75000</v>
      </c>
      <c r="J95" s="18">
        <f t="shared" si="4"/>
        <v>-61104</v>
      </c>
      <c r="K95" s="20">
        <f t="shared" si="5"/>
        <v>0.18528</v>
      </c>
    </row>
    <row r="96" spans="1:11" x14ac:dyDescent="0.3">
      <c r="A96" s="18" t="s">
        <v>112</v>
      </c>
      <c r="B96" s="19" t="s">
        <v>309</v>
      </c>
      <c r="C96" s="18" t="s">
        <v>383</v>
      </c>
      <c r="D96" s="18" t="s">
        <v>393</v>
      </c>
      <c r="E96" s="18" t="s">
        <v>396</v>
      </c>
      <c r="F96" s="18">
        <v>0</v>
      </c>
      <c r="G96" s="18">
        <v>1688</v>
      </c>
      <c r="H96" s="18">
        <f t="shared" si="3"/>
        <v>0</v>
      </c>
      <c r="I96" s="18">
        <v>75000</v>
      </c>
      <c r="J96" s="18">
        <f t="shared" si="4"/>
        <v>-75000</v>
      </c>
      <c r="K96" s="20">
        <f t="shared" si="5"/>
        <v>0</v>
      </c>
    </row>
    <row r="97" spans="1:11" x14ac:dyDescent="0.3">
      <c r="A97" s="18" t="s">
        <v>196</v>
      </c>
      <c r="B97" s="19" t="s">
        <v>367</v>
      </c>
      <c r="C97" s="18" t="s">
        <v>382</v>
      </c>
      <c r="D97" s="18" t="s">
        <v>393</v>
      </c>
      <c r="E97" s="18" t="s">
        <v>397</v>
      </c>
      <c r="F97" s="18">
        <v>4</v>
      </c>
      <c r="G97" s="18">
        <v>3324</v>
      </c>
      <c r="H97" s="18">
        <f t="shared" si="3"/>
        <v>13296</v>
      </c>
      <c r="I97" s="18">
        <v>100000</v>
      </c>
      <c r="J97" s="18">
        <f t="shared" si="4"/>
        <v>-86704</v>
      </c>
      <c r="K97" s="20">
        <f t="shared" si="5"/>
        <v>0.13295999999999999</v>
      </c>
    </row>
    <row r="98" spans="1:11" x14ac:dyDescent="0.3">
      <c r="A98" s="18" t="s">
        <v>32</v>
      </c>
      <c r="B98" s="19" t="s">
        <v>219</v>
      </c>
      <c r="C98" s="18" t="s">
        <v>377</v>
      </c>
      <c r="D98" s="18" t="s">
        <v>392</v>
      </c>
      <c r="E98" s="18" t="s">
        <v>395</v>
      </c>
      <c r="F98" s="18">
        <v>3</v>
      </c>
      <c r="G98" s="18">
        <v>4358</v>
      </c>
      <c r="H98" s="18">
        <f t="shared" si="3"/>
        <v>13074</v>
      </c>
      <c r="I98" s="18">
        <v>70000</v>
      </c>
      <c r="J98" s="18">
        <f t="shared" si="4"/>
        <v>-56926</v>
      </c>
      <c r="K98" s="20">
        <f t="shared" si="5"/>
        <v>0.18677142857142856</v>
      </c>
    </row>
    <row r="99" spans="1:11" x14ac:dyDescent="0.3">
      <c r="A99" s="18" t="s">
        <v>69</v>
      </c>
      <c r="B99" s="19" t="s">
        <v>267</v>
      </c>
      <c r="C99" s="18" t="s">
        <v>385</v>
      </c>
      <c r="D99" s="18" t="s">
        <v>391</v>
      </c>
      <c r="E99" s="18" t="s">
        <v>394</v>
      </c>
      <c r="F99" s="18">
        <v>3</v>
      </c>
      <c r="G99" s="18">
        <v>3819</v>
      </c>
      <c r="H99" s="18">
        <f t="shared" si="3"/>
        <v>11457</v>
      </c>
      <c r="I99" s="18">
        <v>50000</v>
      </c>
      <c r="J99" s="18">
        <f t="shared" si="4"/>
        <v>-38543</v>
      </c>
      <c r="K99" s="20">
        <f t="shared" si="5"/>
        <v>0.22914000000000001</v>
      </c>
    </row>
    <row r="100" spans="1:11" x14ac:dyDescent="0.3">
      <c r="A100" s="18" t="s">
        <v>119</v>
      </c>
      <c r="B100" s="19" t="s">
        <v>314</v>
      </c>
      <c r="C100" s="18" t="s">
        <v>385</v>
      </c>
      <c r="D100" s="18" t="s">
        <v>392</v>
      </c>
      <c r="E100" s="18" t="s">
        <v>396</v>
      </c>
      <c r="F100" s="18">
        <v>10</v>
      </c>
      <c r="G100" s="18">
        <v>1138</v>
      </c>
      <c r="H100" s="18">
        <f t="shared" si="3"/>
        <v>11380</v>
      </c>
      <c r="I100" s="18">
        <v>75000</v>
      </c>
      <c r="J100" s="18">
        <f t="shared" si="4"/>
        <v>-63620</v>
      </c>
      <c r="K100" s="20">
        <f t="shared" si="5"/>
        <v>0.15173333333333333</v>
      </c>
    </row>
    <row r="101" spans="1:11" x14ac:dyDescent="0.3">
      <c r="A101" s="18" t="s">
        <v>125</v>
      </c>
      <c r="B101" s="19" t="s">
        <v>231</v>
      </c>
      <c r="C101" s="18" t="s">
        <v>380</v>
      </c>
      <c r="D101" s="18" t="s">
        <v>392</v>
      </c>
      <c r="E101" s="18" t="s">
        <v>398</v>
      </c>
      <c r="F101" s="18">
        <v>3</v>
      </c>
      <c r="G101" s="18">
        <v>3767</v>
      </c>
      <c r="H101" s="18">
        <f t="shared" si="3"/>
        <v>11301</v>
      </c>
      <c r="I101" s="18">
        <v>60000</v>
      </c>
      <c r="J101" s="18">
        <f t="shared" si="4"/>
        <v>-48699</v>
      </c>
      <c r="K101" s="20">
        <f t="shared" si="5"/>
        <v>0.18834999999999999</v>
      </c>
    </row>
    <row r="102" spans="1:11" x14ac:dyDescent="0.3">
      <c r="A102" s="18" t="s">
        <v>137</v>
      </c>
      <c r="B102" s="19" t="s">
        <v>329</v>
      </c>
      <c r="C102" s="18" t="s">
        <v>379</v>
      </c>
      <c r="D102" s="18" t="s">
        <v>391</v>
      </c>
      <c r="E102" s="18" t="s">
        <v>397</v>
      </c>
      <c r="F102" s="18">
        <v>4</v>
      </c>
      <c r="G102" s="18">
        <v>2784</v>
      </c>
      <c r="H102" s="18">
        <f t="shared" si="3"/>
        <v>11136</v>
      </c>
      <c r="I102" s="18">
        <v>100000</v>
      </c>
      <c r="J102" s="18">
        <f t="shared" si="4"/>
        <v>-88864</v>
      </c>
      <c r="K102" s="20">
        <f t="shared" si="5"/>
        <v>0.11136</v>
      </c>
    </row>
    <row r="103" spans="1:11" x14ac:dyDescent="0.3">
      <c r="A103" s="18" t="s">
        <v>59</v>
      </c>
      <c r="B103" s="19" t="s">
        <v>257</v>
      </c>
      <c r="C103" s="18" t="s">
        <v>378</v>
      </c>
      <c r="D103" s="18" t="s">
        <v>392</v>
      </c>
      <c r="E103" s="18" t="s">
        <v>394</v>
      </c>
      <c r="F103" s="18">
        <v>4</v>
      </c>
      <c r="G103" s="18">
        <v>2773</v>
      </c>
      <c r="H103" s="18">
        <f t="shared" si="3"/>
        <v>11092</v>
      </c>
      <c r="I103" s="18">
        <v>50000</v>
      </c>
      <c r="J103" s="18">
        <f t="shared" si="4"/>
        <v>-38908</v>
      </c>
      <c r="K103" s="20">
        <f t="shared" si="5"/>
        <v>0.22184000000000001</v>
      </c>
    </row>
    <row r="104" spans="1:11" x14ac:dyDescent="0.3">
      <c r="A104" s="18" t="s">
        <v>12</v>
      </c>
      <c r="B104" s="19" t="s">
        <v>212</v>
      </c>
      <c r="C104" s="18" t="s">
        <v>378</v>
      </c>
      <c r="D104" s="18" t="s">
        <v>392</v>
      </c>
      <c r="E104" s="18" t="s">
        <v>397</v>
      </c>
      <c r="F104" s="18">
        <v>3</v>
      </c>
      <c r="G104" s="18">
        <v>3662</v>
      </c>
      <c r="H104" s="18">
        <f t="shared" si="3"/>
        <v>10986</v>
      </c>
      <c r="I104" s="18">
        <v>100000</v>
      </c>
      <c r="J104" s="18">
        <f t="shared" si="4"/>
        <v>-89014</v>
      </c>
      <c r="K104" s="20">
        <f t="shared" si="5"/>
        <v>0.10986</v>
      </c>
    </row>
    <row r="105" spans="1:11" x14ac:dyDescent="0.3">
      <c r="A105" s="18" t="s">
        <v>92</v>
      </c>
      <c r="B105" s="19" t="s">
        <v>290</v>
      </c>
      <c r="C105" s="18" t="s">
        <v>383</v>
      </c>
      <c r="D105" s="18" t="s">
        <v>392</v>
      </c>
      <c r="E105" s="18" t="s">
        <v>397</v>
      </c>
      <c r="F105" s="18">
        <v>4</v>
      </c>
      <c r="G105" s="18">
        <v>2742</v>
      </c>
      <c r="H105" s="18">
        <f t="shared" si="3"/>
        <v>10968</v>
      </c>
      <c r="I105" s="18">
        <v>100000</v>
      </c>
      <c r="J105" s="18">
        <f t="shared" si="4"/>
        <v>-89032</v>
      </c>
      <c r="K105" s="20">
        <f t="shared" si="5"/>
        <v>0.10968</v>
      </c>
    </row>
    <row r="106" spans="1:11" x14ac:dyDescent="0.3">
      <c r="A106" s="18" t="s">
        <v>54</v>
      </c>
      <c r="B106" s="19" t="s">
        <v>252</v>
      </c>
      <c r="C106" s="18" t="s">
        <v>380</v>
      </c>
      <c r="D106" s="18" t="s">
        <v>393</v>
      </c>
      <c r="E106" s="18" t="s">
        <v>396</v>
      </c>
      <c r="F106" s="18">
        <v>4</v>
      </c>
      <c r="G106" s="18">
        <v>2630</v>
      </c>
      <c r="H106" s="18">
        <f t="shared" si="3"/>
        <v>10520</v>
      </c>
      <c r="I106" s="18">
        <v>75000</v>
      </c>
      <c r="J106" s="18">
        <f t="shared" si="4"/>
        <v>-64480</v>
      </c>
      <c r="K106" s="20">
        <f t="shared" si="5"/>
        <v>0.14026666666666668</v>
      </c>
    </row>
    <row r="107" spans="1:11" x14ac:dyDescent="0.3">
      <c r="A107" s="18" t="s">
        <v>139</v>
      </c>
      <c r="B107" s="19" t="s">
        <v>331</v>
      </c>
      <c r="C107" s="18" t="s">
        <v>376</v>
      </c>
      <c r="D107" s="18" t="s">
        <v>392</v>
      </c>
      <c r="E107" s="18" t="s">
        <v>397</v>
      </c>
      <c r="F107" s="18">
        <v>4</v>
      </c>
      <c r="G107" s="18">
        <v>2626</v>
      </c>
      <c r="H107" s="18">
        <f t="shared" si="3"/>
        <v>10504</v>
      </c>
      <c r="I107" s="18">
        <v>100000</v>
      </c>
      <c r="J107" s="18">
        <f t="shared" si="4"/>
        <v>-89496</v>
      </c>
      <c r="K107" s="20">
        <f t="shared" si="5"/>
        <v>0.10503999999999999</v>
      </c>
    </row>
    <row r="108" spans="1:11" x14ac:dyDescent="0.3">
      <c r="A108" s="18" t="s">
        <v>177</v>
      </c>
      <c r="B108" s="19" t="s">
        <v>355</v>
      </c>
      <c r="C108" s="18" t="s">
        <v>387</v>
      </c>
      <c r="D108" s="18" t="s">
        <v>393</v>
      </c>
      <c r="E108" s="18" t="s">
        <v>398</v>
      </c>
      <c r="F108" s="18">
        <v>6</v>
      </c>
      <c r="G108" s="18">
        <v>1745</v>
      </c>
      <c r="H108" s="18">
        <f t="shared" si="3"/>
        <v>10470</v>
      </c>
      <c r="I108" s="18">
        <v>60000</v>
      </c>
      <c r="J108" s="18">
        <f t="shared" si="4"/>
        <v>-49530</v>
      </c>
      <c r="K108" s="20">
        <f t="shared" si="5"/>
        <v>0.17449999999999999</v>
      </c>
    </row>
    <row r="109" spans="1:11" x14ac:dyDescent="0.3">
      <c r="A109" s="18" t="s">
        <v>31</v>
      </c>
      <c r="B109" s="19" t="s">
        <v>230</v>
      </c>
      <c r="C109" s="18" t="s">
        <v>387</v>
      </c>
      <c r="D109" s="18" t="s">
        <v>390</v>
      </c>
      <c r="E109" s="18" t="s">
        <v>394</v>
      </c>
      <c r="F109" s="18">
        <v>7</v>
      </c>
      <c r="G109" s="18">
        <v>1495</v>
      </c>
      <c r="H109" s="18">
        <f t="shared" si="3"/>
        <v>10465</v>
      </c>
      <c r="I109" s="18">
        <v>50000</v>
      </c>
      <c r="J109" s="18">
        <f t="shared" si="4"/>
        <v>-39535</v>
      </c>
      <c r="K109" s="20">
        <f t="shared" si="5"/>
        <v>0.20930000000000001</v>
      </c>
    </row>
    <row r="110" spans="1:11" x14ac:dyDescent="0.3">
      <c r="A110" s="18" t="s">
        <v>143</v>
      </c>
      <c r="B110" s="19" t="s">
        <v>333</v>
      </c>
      <c r="C110" s="18" t="s">
        <v>386</v>
      </c>
      <c r="D110" s="18" t="s">
        <v>393</v>
      </c>
      <c r="E110" s="18" t="s">
        <v>398</v>
      </c>
      <c r="F110" s="18">
        <v>6</v>
      </c>
      <c r="G110" s="18">
        <v>1710</v>
      </c>
      <c r="H110" s="18">
        <f t="shared" si="3"/>
        <v>10260</v>
      </c>
      <c r="I110" s="18">
        <v>60000</v>
      </c>
      <c r="J110" s="18">
        <f t="shared" si="4"/>
        <v>-49740</v>
      </c>
      <c r="K110" s="20">
        <f t="shared" si="5"/>
        <v>0.17100000000000001</v>
      </c>
    </row>
    <row r="111" spans="1:11" x14ac:dyDescent="0.3">
      <c r="A111" s="18" t="s">
        <v>179</v>
      </c>
      <c r="B111" s="19" t="s">
        <v>356</v>
      </c>
      <c r="C111" s="18" t="s">
        <v>376</v>
      </c>
      <c r="D111" s="18" t="s">
        <v>393</v>
      </c>
      <c r="E111" s="18" t="s">
        <v>398</v>
      </c>
      <c r="F111" s="18">
        <v>7</v>
      </c>
      <c r="G111" s="18">
        <v>1446</v>
      </c>
      <c r="H111" s="18">
        <f t="shared" si="3"/>
        <v>10122</v>
      </c>
      <c r="I111" s="18">
        <v>60000</v>
      </c>
      <c r="J111" s="18">
        <f t="shared" si="4"/>
        <v>-49878</v>
      </c>
      <c r="K111" s="20">
        <f t="shared" si="5"/>
        <v>0.16869999999999999</v>
      </c>
    </row>
    <row r="112" spans="1:11" x14ac:dyDescent="0.3">
      <c r="A112" s="18" t="s">
        <v>108</v>
      </c>
      <c r="B112" s="19" t="s">
        <v>305</v>
      </c>
      <c r="C112" s="18" t="s">
        <v>385</v>
      </c>
      <c r="D112" s="18" t="s">
        <v>391</v>
      </c>
      <c r="E112" s="18" t="s">
        <v>398</v>
      </c>
      <c r="F112" s="18">
        <v>4</v>
      </c>
      <c r="G112" s="18">
        <v>2435</v>
      </c>
      <c r="H112" s="18">
        <f t="shared" si="3"/>
        <v>9740</v>
      </c>
      <c r="I112" s="18">
        <v>60000</v>
      </c>
      <c r="J112" s="18">
        <f t="shared" si="4"/>
        <v>-50260</v>
      </c>
      <c r="K112" s="20">
        <f t="shared" si="5"/>
        <v>0.16233333333333333</v>
      </c>
    </row>
    <row r="113" spans="1:11" x14ac:dyDescent="0.3">
      <c r="A113" s="18" t="s">
        <v>102</v>
      </c>
      <c r="B113" s="19" t="s">
        <v>300</v>
      </c>
      <c r="C113" s="18" t="s">
        <v>386</v>
      </c>
      <c r="D113" s="18" t="s">
        <v>390</v>
      </c>
      <c r="E113" s="18" t="s">
        <v>394</v>
      </c>
      <c r="F113" s="18">
        <v>4</v>
      </c>
      <c r="G113" s="18">
        <v>2425</v>
      </c>
      <c r="H113" s="18">
        <f t="shared" si="3"/>
        <v>9700</v>
      </c>
      <c r="I113" s="18">
        <v>50000</v>
      </c>
      <c r="J113" s="18">
        <f t="shared" si="4"/>
        <v>-40300</v>
      </c>
      <c r="K113" s="20">
        <f t="shared" si="5"/>
        <v>0.19400000000000001</v>
      </c>
    </row>
    <row r="114" spans="1:11" x14ac:dyDescent="0.3">
      <c r="A114" s="18" t="s">
        <v>66</v>
      </c>
      <c r="B114" s="19" t="s">
        <v>264</v>
      </c>
      <c r="C114" s="18" t="s">
        <v>376</v>
      </c>
      <c r="D114" s="18" t="s">
        <v>391</v>
      </c>
      <c r="E114" s="18" t="s">
        <v>394</v>
      </c>
      <c r="F114" s="18">
        <v>5</v>
      </c>
      <c r="G114" s="18">
        <v>1925</v>
      </c>
      <c r="H114" s="18">
        <f t="shared" si="3"/>
        <v>9625</v>
      </c>
      <c r="I114" s="18">
        <v>50000</v>
      </c>
      <c r="J114" s="18">
        <f t="shared" si="4"/>
        <v>-40375</v>
      </c>
      <c r="K114" s="20">
        <f t="shared" si="5"/>
        <v>0.1925</v>
      </c>
    </row>
    <row r="115" spans="1:11" x14ac:dyDescent="0.3">
      <c r="A115" s="18" t="s">
        <v>89</v>
      </c>
      <c r="B115" s="19" t="s">
        <v>287</v>
      </c>
      <c r="C115" s="18" t="s">
        <v>380</v>
      </c>
      <c r="D115" s="18" t="s">
        <v>390</v>
      </c>
      <c r="E115" s="18" t="s">
        <v>394</v>
      </c>
      <c r="F115" s="18">
        <v>5</v>
      </c>
      <c r="G115" s="18">
        <v>1921</v>
      </c>
      <c r="H115" s="18">
        <f t="shared" si="3"/>
        <v>9605</v>
      </c>
      <c r="I115" s="18">
        <v>50000</v>
      </c>
      <c r="J115" s="18">
        <f t="shared" si="4"/>
        <v>-40395</v>
      </c>
      <c r="K115" s="20">
        <f t="shared" si="5"/>
        <v>0.19209999999999999</v>
      </c>
    </row>
    <row r="116" spans="1:11" x14ac:dyDescent="0.3">
      <c r="A116" s="18" t="s">
        <v>149</v>
      </c>
      <c r="B116" s="19" t="s">
        <v>322</v>
      </c>
      <c r="C116" s="18" t="s">
        <v>376</v>
      </c>
      <c r="D116" s="18" t="s">
        <v>390</v>
      </c>
      <c r="E116" s="18" t="s">
        <v>396</v>
      </c>
      <c r="F116" s="18">
        <v>4</v>
      </c>
      <c r="G116" s="18">
        <v>2367</v>
      </c>
      <c r="H116" s="18">
        <f t="shared" si="3"/>
        <v>9468</v>
      </c>
      <c r="I116" s="18">
        <v>75000</v>
      </c>
      <c r="J116" s="18">
        <f t="shared" si="4"/>
        <v>-65532</v>
      </c>
      <c r="K116" s="20">
        <f t="shared" si="5"/>
        <v>0.12623999999999999</v>
      </c>
    </row>
    <row r="117" spans="1:11" x14ac:dyDescent="0.3">
      <c r="A117" s="18" t="s">
        <v>195</v>
      </c>
      <c r="B117" s="19" t="s">
        <v>208</v>
      </c>
      <c r="C117" s="18" t="s">
        <v>380</v>
      </c>
      <c r="D117" s="18" t="s">
        <v>392</v>
      </c>
      <c r="E117" s="18" t="s">
        <v>398</v>
      </c>
      <c r="F117" s="18">
        <v>5</v>
      </c>
      <c r="G117" s="18">
        <v>1831</v>
      </c>
      <c r="H117" s="18">
        <f t="shared" si="3"/>
        <v>9155</v>
      </c>
      <c r="I117" s="18">
        <v>60000</v>
      </c>
      <c r="J117" s="18">
        <f t="shared" si="4"/>
        <v>-50845</v>
      </c>
      <c r="K117" s="20">
        <f t="shared" si="5"/>
        <v>0.15258333333333332</v>
      </c>
    </row>
    <row r="118" spans="1:11" x14ac:dyDescent="0.3">
      <c r="A118" s="18" t="s">
        <v>50</v>
      </c>
      <c r="B118" s="19" t="s">
        <v>248</v>
      </c>
      <c r="C118" s="18" t="s">
        <v>388</v>
      </c>
      <c r="D118" s="18" t="s">
        <v>390</v>
      </c>
      <c r="E118" s="18" t="s">
        <v>398</v>
      </c>
      <c r="F118" s="18">
        <v>9</v>
      </c>
      <c r="G118" s="18">
        <v>1002</v>
      </c>
      <c r="H118" s="18">
        <f t="shared" si="3"/>
        <v>9018</v>
      </c>
      <c r="I118" s="18">
        <v>60000</v>
      </c>
      <c r="J118" s="18">
        <f t="shared" si="4"/>
        <v>-50982</v>
      </c>
      <c r="K118" s="20">
        <f t="shared" si="5"/>
        <v>0.15029999999999999</v>
      </c>
    </row>
    <row r="119" spans="1:11" x14ac:dyDescent="0.3">
      <c r="A119" s="18" t="s">
        <v>199</v>
      </c>
      <c r="B119" s="19" t="s">
        <v>369</v>
      </c>
      <c r="C119" s="18" t="s">
        <v>378</v>
      </c>
      <c r="D119" s="18" t="s">
        <v>392</v>
      </c>
      <c r="E119" s="18" t="s">
        <v>396</v>
      </c>
      <c r="F119" s="18">
        <v>4</v>
      </c>
      <c r="G119" s="18">
        <v>2253</v>
      </c>
      <c r="H119" s="18">
        <f t="shared" si="3"/>
        <v>9012</v>
      </c>
      <c r="I119" s="18">
        <v>75000</v>
      </c>
      <c r="J119" s="18">
        <f t="shared" si="4"/>
        <v>-65988</v>
      </c>
      <c r="K119" s="20">
        <f t="shared" si="5"/>
        <v>0.12016</v>
      </c>
    </row>
    <row r="120" spans="1:11" x14ac:dyDescent="0.3">
      <c r="A120" s="18" t="s">
        <v>73</v>
      </c>
      <c r="B120" s="19" t="s">
        <v>271</v>
      </c>
      <c r="C120" s="18" t="s">
        <v>387</v>
      </c>
      <c r="D120" s="18" t="s">
        <v>390</v>
      </c>
      <c r="E120" s="18" t="s">
        <v>394</v>
      </c>
      <c r="F120" s="18">
        <v>4</v>
      </c>
      <c r="G120" s="18">
        <v>2244</v>
      </c>
      <c r="H120" s="18">
        <f t="shared" si="3"/>
        <v>8976</v>
      </c>
      <c r="I120" s="18">
        <v>50000</v>
      </c>
      <c r="J120" s="18">
        <f t="shared" si="4"/>
        <v>-41024</v>
      </c>
      <c r="K120" s="20">
        <f t="shared" si="5"/>
        <v>0.17952000000000001</v>
      </c>
    </row>
    <row r="121" spans="1:11" x14ac:dyDescent="0.3">
      <c r="A121" s="18" t="s">
        <v>162</v>
      </c>
      <c r="B121" s="19" t="s">
        <v>344</v>
      </c>
      <c r="C121" s="18" t="s">
        <v>387</v>
      </c>
      <c r="D121" s="18" t="s">
        <v>392</v>
      </c>
      <c r="E121" s="18" t="s">
        <v>397</v>
      </c>
      <c r="F121" s="18">
        <v>3</v>
      </c>
      <c r="G121" s="18">
        <v>2901</v>
      </c>
      <c r="H121" s="18">
        <f t="shared" si="3"/>
        <v>8703</v>
      </c>
      <c r="I121" s="18">
        <v>100000</v>
      </c>
      <c r="J121" s="18">
        <f t="shared" si="4"/>
        <v>-91297</v>
      </c>
      <c r="K121" s="20">
        <f t="shared" si="5"/>
        <v>8.7029999999999996E-2</v>
      </c>
    </row>
    <row r="122" spans="1:11" x14ac:dyDescent="0.3">
      <c r="A122" s="18" t="s">
        <v>36</v>
      </c>
      <c r="B122" s="19" t="s">
        <v>234</v>
      </c>
      <c r="C122" s="18" t="s">
        <v>388</v>
      </c>
      <c r="D122" s="18" t="s">
        <v>390</v>
      </c>
      <c r="E122" s="18" t="s">
        <v>396</v>
      </c>
      <c r="F122" s="18">
        <v>10</v>
      </c>
      <c r="G122" s="18">
        <v>845</v>
      </c>
      <c r="H122" s="18">
        <f t="shared" si="3"/>
        <v>8450</v>
      </c>
      <c r="I122" s="18">
        <v>75000</v>
      </c>
      <c r="J122" s="18">
        <f t="shared" si="4"/>
        <v>-66550</v>
      </c>
      <c r="K122" s="20">
        <f t="shared" si="5"/>
        <v>0.11266666666666666</v>
      </c>
    </row>
    <row r="123" spans="1:11" x14ac:dyDescent="0.3">
      <c r="A123" s="18" t="s">
        <v>57</v>
      </c>
      <c r="B123" s="19" t="s">
        <v>255</v>
      </c>
      <c r="C123" s="18" t="s">
        <v>375</v>
      </c>
      <c r="D123" s="18" t="s">
        <v>390</v>
      </c>
      <c r="E123" s="18" t="s">
        <v>396</v>
      </c>
      <c r="F123" s="18">
        <v>7</v>
      </c>
      <c r="G123" s="18">
        <v>1182</v>
      </c>
      <c r="H123" s="18">
        <f t="shared" si="3"/>
        <v>8274</v>
      </c>
      <c r="I123" s="18">
        <v>75000</v>
      </c>
      <c r="J123" s="18">
        <f t="shared" si="4"/>
        <v>-66726</v>
      </c>
      <c r="K123" s="20">
        <f t="shared" si="5"/>
        <v>0.11032</v>
      </c>
    </row>
    <row r="124" spans="1:11" x14ac:dyDescent="0.3">
      <c r="A124" s="18" t="s">
        <v>8</v>
      </c>
      <c r="B124" s="19" t="s">
        <v>208</v>
      </c>
      <c r="C124" s="18" t="s">
        <v>375</v>
      </c>
      <c r="D124" s="18" t="s">
        <v>390</v>
      </c>
      <c r="E124" s="18" t="s">
        <v>394</v>
      </c>
      <c r="F124" s="18">
        <v>4</v>
      </c>
      <c r="G124" s="18">
        <v>2028</v>
      </c>
      <c r="H124" s="18">
        <f t="shared" si="3"/>
        <v>8112</v>
      </c>
      <c r="I124" s="18">
        <v>50000</v>
      </c>
      <c r="J124" s="18">
        <f t="shared" si="4"/>
        <v>-41888</v>
      </c>
      <c r="K124" s="20">
        <f t="shared" si="5"/>
        <v>0.16224</v>
      </c>
    </row>
    <row r="125" spans="1:11" x14ac:dyDescent="0.3">
      <c r="A125" s="18" t="s">
        <v>187</v>
      </c>
      <c r="B125" s="19" t="s">
        <v>363</v>
      </c>
      <c r="C125" s="18" t="s">
        <v>385</v>
      </c>
      <c r="D125" s="18" t="s">
        <v>390</v>
      </c>
      <c r="E125" s="18" t="s">
        <v>398</v>
      </c>
      <c r="F125" s="18">
        <v>0</v>
      </c>
      <c r="G125" s="18">
        <v>2653</v>
      </c>
      <c r="H125" s="18">
        <f t="shared" si="3"/>
        <v>0</v>
      </c>
      <c r="I125" s="18">
        <v>60000</v>
      </c>
      <c r="J125" s="18">
        <f t="shared" si="4"/>
        <v>-60000</v>
      </c>
      <c r="K125" s="20">
        <f t="shared" si="5"/>
        <v>0</v>
      </c>
    </row>
    <row r="126" spans="1:11" x14ac:dyDescent="0.3">
      <c r="A126" s="18" t="s">
        <v>56</v>
      </c>
      <c r="B126" s="19" t="s">
        <v>254</v>
      </c>
      <c r="C126" s="18" t="s">
        <v>386</v>
      </c>
      <c r="D126" s="18" t="s">
        <v>391</v>
      </c>
      <c r="E126" s="18" t="s">
        <v>397</v>
      </c>
      <c r="F126" s="18">
        <v>9</v>
      </c>
      <c r="G126" s="18">
        <v>856</v>
      </c>
      <c r="H126" s="18">
        <f t="shared" si="3"/>
        <v>7704</v>
      </c>
      <c r="I126" s="18">
        <v>100000</v>
      </c>
      <c r="J126" s="18">
        <f t="shared" si="4"/>
        <v>-92296</v>
      </c>
      <c r="K126" s="20">
        <f t="shared" si="5"/>
        <v>7.7039999999999997E-2</v>
      </c>
    </row>
    <row r="127" spans="1:11" x14ac:dyDescent="0.3">
      <c r="A127" s="18" t="s">
        <v>76</v>
      </c>
      <c r="B127" s="19" t="s">
        <v>274</v>
      </c>
      <c r="C127" s="18" t="s">
        <v>385</v>
      </c>
      <c r="D127" s="18" t="s">
        <v>393</v>
      </c>
      <c r="E127" s="18" t="s">
        <v>396</v>
      </c>
      <c r="F127" s="18">
        <v>5</v>
      </c>
      <c r="G127" s="18">
        <v>1504</v>
      </c>
      <c r="H127" s="18">
        <f t="shared" si="3"/>
        <v>7520</v>
      </c>
      <c r="I127" s="18">
        <v>75000</v>
      </c>
      <c r="J127" s="18">
        <f t="shared" si="4"/>
        <v>-67480</v>
      </c>
      <c r="K127" s="20">
        <f t="shared" si="5"/>
        <v>0.10026666666666667</v>
      </c>
    </row>
    <row r="128" spans="1:11" x14ac:dyDescent="0.3">
      <c r="A128" s="18" t="s">
        <v>186</v>
      </c>
      <c r="B128" s="19" t="s">
        <v>362</v>
      </c>
      <c r="C128" s="18" t="s">
        <v>383</v>
      </c>
      <c r="D128" s="18" t="s">
        <v>392</v>
      </c>
      <c r="E128" s="18" t="s">
        <v>396</v>
      </c>
      <c r="F128" s="18">
        <v>2</v>
      </c>
      <c r="G128" s="18">
        <v>3755</v>
      </c>
      <c r="H128" s="18">
        <f t="shared" si="3"/>
        <v>7510</v>
      </c>
      <c r="I128" s="18">
        <v>75000</v>
      </c>
      <c r="J128" s="18">
        <f t="shared" si="4"/>
        <v>-67490</v>
      </c>
      <c r="K128" s="20">
        <f t="shared" si="5"/>
        <v>0.10013333333333334</v>
      </c>
    </row>
    <row r="129" spans="1:11" x14ac:dyDescent="0.3">
      <c r="A129" s="18" t="s">
        <v>49</v>
      </c>
      <c r="B129" s="19" t="s">
        <v>247</v>
      </c>
      <c r="C129" s="18" t="s">
        <v>386</v>
      </c>
      <c r="D129" s="18" t="s">
        <v>391</v>
      </c>
      <c r="E129" s="18" t="s">
        <v>398</v>
      </c>
      <c r="F129" s="18">
        <v>3</v>
      </c>
      <c r="G129" s="18">
        <v>2481</v>
      </c>
      <c r="H129" s="18">
        <f t="shared" si="3"/>
        <v>7443</v>
      </c>
      <c r="I129" s="18">
        <v>60000</v>
      </c>
      <c r="J129" s="18">
        <f t="shared" si="4"/>
        <v>-52557</v>
      </c>
      <c r="K129" s="20">
        <f t="shared" si="5"/>
        <v>0.12404999999999999</v>
      </c>
    </row>
    <row r="130" spans="1:11" x14ac:dyDescent="0.3">
      <c r="A130" s="18" t="s">
        <v>77</v>
      </c>
      <c r="B130" s="19" t="s">
        <v>275</v>
      </c>
      <c r="C130" s="18" t="s">
        <v>380</v>
      </c>
      <c r="D130" s="18" t="s">
        <v>390</v>
      </c>
      <c r="E130" s="18" t="s">
        <v>398</v>
      </c>
      <c r="F130" s="18">
        <v>4</v>
      </c>
      <c r="G130" s="18">
        <v>1834</v>
      </c>
      <c r="H130" s="18">
        <f t="shared" si="3"/>
        <v>7336</v>
      </c>
      <c r="I130" s="18">
        <v>60000</v>
      </c>
      <c r="J130" s="18">
        <f t="shared" si="4"/>
        <v>-52664</v>
      </c>
      <c r="K130" s="20">
        <f t="shared" si="5"/>
        <v>0.12226666666666666</v>
      </c>
    </row>
    <row r="131" spans="1:11" x14ac:dyDescent="0.3">
      <c r="A131" s="18" t="s">
        <v>150</v>
      </c>
      <c r="B131" s="19" t="s">
        <v>310</v>
      </c>
      <c r="C131" s="18" t="s">
        <v>389</v>
      </c>
      <c r="D131" s="18" t="s">
        <v>391</v>
      </c>
      <c r="E131" s="18" t="s">
        <v>396</v>
      </c>
      <c r="F131" s="18">
        <v>9</v>
      </c>
      <c r="G131" s="18">
        <v>814</v>
      </c>
      <c r="H131" s="18">
        <f t="shared" ref="H131:H194" si="6">F131*G131</f>
        <v>7326</v>
      </c>
      <c r="I131" s="18">
        <v>75000</v>
      </c>
      <c r="J131" s="18">
        <f t="shared" ref="J131:J194" si="7">H131-I131</f>
        <v>-67674</v>
      </c>
      <c r="K131" s="20">
        <f t="shared" ref="K131:K194" si="8">H131/I131</f>
        <v>9.7680000000000003E-2</v>
      </c>
    </row>
    <row r="132" spans="1:11" x14ac:dyDescent="0.3">
      <c r="A132" s="18" t="s">
        <v>9</v>
      </c>
      <c r="B132" s="19" t="s">
        <v>209</v>
      </c>
      <c r="C132" s="18" t="s">
        <v>376</v>
      </c>
      <c r="D132" s="18" t="s">
        <v>390</v>
      </c>
      <c r="E132" s="18" t="s">
        <v>395</v>
      </c>
      <c r="F132" s="18">
        <v>2</v>
      </c>
      <c r="G132" s="18">
        <v>3656</v>
      </c>
      <c r="H132" s="18">
        <f t="shared" si="6"/>
        <v>7312</v>
      </c>
      <c r="I132" s="18">
        <v>70000</v>
      </c>
      <c r="J132" s="18">
        <f t="shared" si="7"/>
        <v>-62688</v>
      </c>
      <c r="K132" s="20">
        <f t="shared" si="8"/>
        <v>0.10445714285714286</v>
      </c>
    </row>
    <row r="133" spans="1:11" x14ac:dyDescent="0.3">
      <c r="A133" s="18" t="s">
        <v>58</v>
      </c>
      <c r="B133" s="19" t="s">
        <v>256</v>
      </c>
      <c r="C133" s="18" t="s">
        <v>388</v>
      </c>
      <c r="D133" s="18" t="s">
        <v>390</v>
      </c>
      <c r="E133" s="18" t="s">
        <v>395</v>
      </c>
      <c r="F133" s="18">
        <v>2</v>
      </c>
      <c r="G133" s="18">
        <v>3634</v>
      </c>
      <c r="H133" s="18">
        <f t="shared" si="6"/>
        <v>7268</v>
      </c>
      <c r="I133" s="18">
        <v>70000</v>
      </c>
      <c r="J133" s="18">
        <f t="shared" si="7"/>
        <v>-62732</v>
      </c>
      <c r="K133" s="20">
        <f t="shared" si="8"/>
        <v>0.10382857142857142</v>
      </c>
    </row>
    <row r="134" spans="1:11" x14ac:dyDescent="0.3">
      <c r="A134" s="18" t="s">
        <v>104</v>
      </c>
      <c r="B134" s="19" t="s">
        <v>302</v>
      </c>
      <c r="C134" s="18" t="s">
        <v>376</v>
      </c>
      <c r="D134" s="18" t="s">
        <v>391</v>
      </c>
      <c r="E134" s="18" t="s">
        <v>396</v>
      </c>
      <c r="F134" s="18">
        <v>2</v>
      </c>
      <c r="G134" s="18">
        <v>3598</v>
      </c>
      <c r="H134" s="18">
        <f t="shared" si="6"/>
        <v>7196</v>
      </c>
      <c r="I134" s="18">
        <v>75000</v>
      </c>
      <c r="J134" s="18">
        <f t="shared" si="7"/>
        <v>-67804</v>
      </c>
      <c r="K134" s="20">
        <f t="shared" si="8"/>
        <v>9.5946666666666666E-2</v>
      </c>
    </row>
    <row r="135" spans="1:11" x14ac:dyDescent="0.3">
      <c r="A135" s="18" t="s">
        <v>38</v>
      </c>
      <c r="B135" s="19" t="s">
        <v>236</v>
      </c>
      <c r="C135" s="18" t="s">
        <v>383</v>
      </c>
      <c r="D135" s="18" t="s">
        <v>393</v>
      </c>
      <c r="E135" s="18" t="s">
        <v>395</v>
      </c>
      <c r="F135" s="18">
        <v>3</v>
      </c>
      <c r="G135" s="18">
        <v>2371</v>
      </c>
      <c r="H135" s="18">
        <f t="shared" si="6"/>
        <v>7113</v>
      </c>
      <c r="I135" s="18">
        <v>70000</v>
      </c>
      <c r="J135" s="18">
        <f t="shared" si="7"/>
        <v>-62887</v>
      </c>
      <c r="K135" s="20">
        <f t="shared" si="8"/>
        <v>0.10161428571428571</v>
      </c>
    </row>
    <row r="136" spans="1:11" x14ac:dyDescent="0.3">
      <c r="A136" s="18" t="s">
        <v>48</v>
      </c>
      <c r="B136" s="19" t="s">
        <v>246</v>
      </c>
      <c r="C136" s="18" t="s">
        <v>385</v>
      </c>
      <c r="D136" s="18" t="s">
        <v>390</v>
      </c>
      <c r="E136" s="18" t="s">
        <v>396</v>
      </c>
      <c r="F136" s="18">
        <v>4</v>
      </c>
      <c r="G136" s="18">
        <v>1758</v>
      </c>
      <c r="H136" s="18">
        <f t="shared" si="6"/>
        <v>7032</v>
      </c>
      <c r="I136" s="18">
        <v>75000</v>
      </c>
      <c r="J136" s="18">
        <f t="shared" si="7"/>
        <v>-67968</v>
      </c>
      <c r="K136" s="20">
        <f t="shared" si="8"/>
        <v>9.3759999999999996E-2</v>
      </c>
    </row>
    <row r="137" spans="1:11" x14ac:dyDescent="0.3">
      <c r="A137" s="18" t="s">
        <v>144</v>
      </c>
      <c r="B137" s="19" t="s">
        <v>266</v>
      </c>
      <c r="C137" s="18" t="s">
        <v>379</v>
      </c>
      <c r="D137" s="18" t="s">
        <v>393</v>
      </c>
      <c r="E137" s="18" t="s">
        <v>397</v>
      </c>
      <c r="F137" s="18">
        <v>2</v>
      </c>
      <c r="G137" s="18">
        <v>3482</v>
      </c>
      <c r="H137" s="18">
        <f t="shared" si="6"/>
        <v>6964</v>
      </c>
      <c r="I137" s="18">
        <v>100000</v>
      </c>
      <c r="J137" s="18">
        <f t="shared" si="7"/>
        <v>-93036</v>
      </c>
      <c r="K137" s="20">
        <f t="shared" si="8"/>
        <v>6.9639999999999994E-2</v>
      </c>
    </row>
    <row r="138" spans="1:11" x14ac:dyDescent="0.3">
      <c r="A138" s="18" t="s">
        <v>148</v>
      </c>
      <c r="B138" s="19" t="s">
        <v>336</v>
      </c>
      <c r="C138" s="18" t="s">
        <v>379</v>
      </c>
      <c r="D138" s="18" t="s">
        <v>393</v>
      </c>
      <c r="E138" s="18" t="s">
        <v>394</v>
      </c>
      <c r="F138" s="18">
        <v>10</v>
      </c>
      <c r="G138" s="18">
        <v>693</v>
      </c>
      <c r="H138" s="18">
        <f t="shared" si="6"/>
        <v>6930</v>
      </c>
      <c r="I138" s="18">
        <v>50000</v>
      </c>
      <c r="J138" s="18">
        <f t="shared" si="7"/>
        <v>-43070</v>
      </c>
      <c r="K138" s="20">
        <f t="shared" si="8"/>
        <v>0.1386</v>
      </c>
    </row>
    <row r="139" spans="1:11" x14ac:dyDescent="0.3">
      <c r="A139" s="18" t="s">
        <v>204</v>
      </c>
      <c r="B139" s="19" t="s">
        <v>251</v>
      </c>
      <c r="C139" s="18" t="s">
        <v>379</v>
      </c>
      <c r="D139" s="18" t="s">
        <v>393</v>
      </c>
      <c r="E139" s="18" t="s">
        <v>394</v>
      </c>
      <c r="F139" s="18">
        <v>6</v>
      </c>
      <c r="G139" s="18">
        <v>1143</v>
      </c>
      <c r="H139" s="18">
        <f t="shared" si="6"/>
        <v>6858</v>
      </c>
      <c r="I139" s="18">
        <v>50000</v>
      </c>
      <c r="J139" s="18">
        <f t="shared" si="7"/>
        <v>-43142</v>
      </c>
      <c r="K139" s="20">
        <f t="shared" si="8"/>
        <v>0.13716</v>
      </c>
    </row>
    <row r="140" spans="1:11" x14ac:dyDescent="0.3">
      <c r="A140" s="18" t="s">
        <v>154</v>
      </c>
      <c r="B140" s="19" t="s">
        <v>328</v>
      </c>
      <c r="C140" s="18" t="s">
        <v>375</v>
      </c>
      <c r="D140" s="18" t="s">
        <v>391</v>
      </c>
      <c r="E140" s="18" t="s">
        <v>396</v>
      </c>
      <c r="F140" s="18">
        <v>5</v>
      </c>
      <c r="G140" s="18">
        <v>1365</v>
      </c>
      <c r="H140" s="18">
        <f t="shared" si="6"/>
        <v>6825</v>
      </c>
      <c r="I140" s="18">
        <v>75000</v>
      </c>
      <c r="J140" s="18">
        <f t="shared" si="7"/>
        <v>-68175</v>
      </c>
      <c r="K140" s="20">
        <f t="shared" si="8"/>
        <v>9.0999999999999998E-2</v>
      </c>
    </row>
    <row r="141" spans="1:11" x14ac:dyDescent="0.3">
      <c r="A141" s="18" t="s">
        <v>25</v>
      </c>
      <c r="B141" s="19" t="s">
        <v>224</v>
      </c>
      <c r="C141" s="18" t="s">
        <v>386</v>
      </c>
      <c r="D141" s="18" t="s">
        <v>391</v>
      </c>
      <c r="E141" s="18" t="s">
        <v>394</v>
      </c>
      <c r="F141" s="18">
        <v>3</v>
      </c>
      <c r="G141" s="18">
        <v>2220</v>
      </c>
      <c r="H141" s="18">
        <f t="shared" si="6"/>
        <v>6660</v>
      </c>
      <c r="I141" s="18">
        <v>50000</v>
      </c>
      <c r="J141" s="18">
        <f t="shared" si="7"/>
        <v>-43340</v>
      </c>
      <c r="K141" s="20">
        <f t="shared" si="8"/>
        <v>0.13320000000000001</v>
      </c>
    </row>
    <row r="142" spans="1:11" x14ac:dyDescent="0.3">
      <c r="A142" s="18" t="s">
        <v>15</v>
      </c>
      <c r="B142" s="19" t="s">
        <v>215</v>
      </c>
      <c r="C142" s="18" t="s">
        <v>376</v>
      </c>
      <c r="D142" s="18" t="s">
        <v>393</v>
      </c>
      <c r="E142" s="18" t="s">
        <v>395</v>
      </c>
      <c r="F142" s="18">
        <v>2</v>
      </c>
      <c r="G142" s="18">
        <v>3300</v>
      </c>
      <c r="H142" s="18">
        <f t="shared" si="6"/>
        <v>6600</v>
      </c>
      <c r="I142" s="18">
        <v>70000</v>
      </c>
      <c r="J142" s="18">
        <f t="shared" si="7"/>
        <v>-63400</v>
      </c>
      <c r="K142" s="20">
        <f t="shared" si="8"/>
        <v>9.4285714285714292E-2</v>
      </c>
    </row>
    <row r="143" spans="1:11" x14ac:dyDescent="0.3">
      <c r="A143" s="18" t="s">
        <v>117</v>
      </c>
      <c r="B143" s="19" t="s">
        <v>312</v>
      </c>
      <c r="C143" s="18" t="s">
        <v>382</v>
      </c>
      <c r="D143" s="18" t="s">
        <v>390</v>
      </c>
      <c r="E143" s="18" t="s">
        <v>395</v>
      </c>
      <c r="F143" s="18">
        <v>3</v>
      </c>
      <c r="G143" s="18">
        <v>2154</v>
      </c>
      <c r="H143" s="18">
        <f t="shared" si="6"/>
        <v>6462</v>
      </c>
      <c r="I143" s="18">
        <v>70000</v>
      </c>
      <c r="J143" s="18">
        <f t="shared" si="7"/>
        <v>-63538</v>
      </c>
      <c r="K143" s="20">
        <f t="shared" si="8"/>
        <v>9.231428571428571E-2</v>
      </c>
    </row>
    <row r="144" spans="1:11" x14ac:dyDescent="0.3">
      <c r="A144" s="18" t="s">
        <v>62</v>
      </c>
      <c r="B144" s="19" t="s">
        <v>260</v>
      </c>
      <c r="C144" s="18" t="s">
        <v>375</v>
      </c>
      <c r="D144" s="18" t="s">
        <v>391</v>
      </c>
      <c r="E144" s="18" t="s">
        <v>395</v>
      </c>
      <c r="F144" s="18">
        <v>5</v>
      </c>
      <c r="G144" s="18">
        <v>1285</v>
      </c>
      <c r="H144" s="18">
        <f t="shared" si="6"/>
        <v>6425</v>
      </c>
      <c r="I144" s="18">
        <v>70000</v>
      </c>
      <c r="J144" s="18">
        <f t="shared" si="7"/>
        <v>-63575</v>
      </c>
      <c r="K144" s="20">
        <f t="shared" si="8"/>
        <v>9.178571428571429E-2</v>
      </c>
    </row>
    <row r="145" spans="1:11" x14ac:dyDescent="0.3">
      <c r="A145" s="18" t="s">
        <v>74</v>
      </c>
      <c r="B145" s="19" t="s">
        <v>272</v>
      </c>
      <c r="C145" s="18" t="s">
        <v>387</v>
      </c>
      <c r="D145" s="18" t="s">
        <v>393</v>
      </c>
      <c r="E145" s="18" t="s">
        <v>395</v>
      </c>
      <c r="F145" s="18">
        <v>3</v>
      </c>
      <c r="G145" s="18">
        <v>2139</v>
      </c>
      <c r="H145" s="18">
        <f t="shared" si="6"/>
        <v>6417</v>
      </c>
      <c r="I145" s="18">
        <v>70000</v>
      </c>
      <c r="J145" s="18">
        <f t="shared" si="7"/>
        <v>-63583</v>
      </c>
      <c r="K145" s="20">
        <f t="shared" si="8"/>
        <v>9.167142857142857E-2</v>
      </c>
    </row>
    <row r="146" spans="1:11" x14ac:dyDescent="0.3">
      <c r="A146" s="18" t="s">
        <v>35</v>
      </c>
      <c r="B146" s="19" t="s">
        <v>233</v>
      </c>
      <c r="C146" s="18" t="s">
        <v>403</v>
      </c>
      <c r="D146" s="18" t="s">
        <v>393</v>
      </c>
      <c r="E146" s="18" t="s">
        <v>397</v>
      </c>
      <c r="F146" s="18">
        <v>2</v>
      </c>
      <c r="G146" s="18">
        <v>3173</v>
      </c>
      <c r="H146" s="18">
        <f t="shared" si="6"/>
        <v>6346</v>
      </c>
      <c r="I146" s="18">
        <v>100000</v>
      </c>
      <c r="J146" s="18">
        <f t="shared" si="7"/>
        <v>-93654</v>
      </c>
      <c r="K146" s="20">
        <f t="shared" si="8"/>
        <v>6.3460000000000003E-2</v>
      </c>
    </row>
    <row r="147" spans="1:11" x14ac:dyDescent="0.3">
      <c r="A147" s="18" t="s">
        <v>103</v>
      </c>
      <c r="B147" s="19" t="s">
        <v>301</v>
      </c>
      <c r="C147" s="18" t="s">
        <v>403</v>
      </c>
      <c r="D147" s="18" t="s">
        <v>390</v>
      </c>
      <c r="E147" s="18" t="s">
        <v>396</v>
      </c>
      <c r="F147" s="18">
        <v>3</v>
      </c>
      <c r="G147" s="18">
        <v>2094</v>
      </c>
      <c r="H147" s="18">
        <f t="shared" si="6"/>
        <v>6282</v>
      </c>
      <c r="I147" s="18">
        <v>75000</v>
      </c>
      <c r="J147" s="18">
        <f t="shared" si="7"/>
        <v>-68718</v>
      </c>
      <c r="K147" s="20">
        <f t="shared" si="8"/>
        <v>8.3760000000000001E-2</v>
      </c>
    </row>
    <row r="148" spans="1:11" x14ac:dyDescent="0.3">
      <c r="A148" s="18" t="s">
        <v>51</v>
      </c>
      <c r="B148" s="19" t="s">
        <v>249</v>
      </c>
      <c r="C148" s="18" t="s">
        <v>383</v>
      </c>
      <c r="D148" s="18" t="s">
        <v>390</v>
      </c>
      <c r="E148" s="18" t="s">
        <v>397</v>
      </c>
      <c r="F148" s="18">
        <v>4</v>
      </c>
      <c r="G148" s="18">
        <v>1562</v>
      </c>
      <c r="H148" s="18">
        <f t="shared" si="6"/>
        <v>6248</v>
      </c>
      <c r="I148" s="18">
        <v>100000</v>
      </c>
      <c r="J148" s="18">
        <f t="shared" si="7"/>
        <v>-93752</v>
      </c>
      <c r="K148" s="20">
        <f t="shared" si="8"/>
        <v>6.2480000000000001E-2</v>
      </c>
    </row>
    <row r="149" spans="1:11" x14ac:dyDescent="0.3">
      <c r="A149" s="18" t="s">
        <v>13</v>
      </c>
      <c r="B149" s="19" t="s">
        <v>213</v>
      </c>
      <c r="C149" s="18" t="s">
        <v>379</v>
      </c>
      <c r="D149" s="18" t="s">
        <v>391</v>
      </c>
      <c r="E149" s="18" t="s">
        <v>396</v>
      </c>
      <c r="F149" s="18">
        <v>6</v>
      </c>
      <c r="G149" s="18">
        <v>1037</v>
      </c>
      <c r="H149" s="18">
        <f t="shared" si="6"/>
        <v>6222</v>
      </c>
      <c r="I149" s="18">
        <v>75000</v>
      </c>
      <c r="J149" s="18">
        <f t="shared" si="7"/>
        <v>-68778</v>
      </c>
      <c r="K149" s="20">
        <f t="shared" si="8"/>
        <v>8.2960000000000006E-2</v>
      </c>
    </row>
    <row r="150" spans="1:11" x14ac:dyDescent="0.3">
      <c r="A150" s="18" t="s">
        <v>122</v>
      </c>
      <c r="B150" s="19" t="s">
        <v>317</v>
      </c>
      <c r="C150" s="18" t="s">
        <v>376</v>
      </c>
      <c r="D150" s="18" t="s">
        <v>391</v>
      </c>
      <c r="E150" s="18" t="s">
        <v>397</v>
      </c>
      <c r="F150" s="18">
        <v>5</v>
      </c>
      <c r="G150" s="18">
        <v>1191</v>
      </c>
      <c r="H150" s="18">
        <f t="shared" si="6"/>
        <v>5955</v>
      </c>
      <c r="I150" s="18">
        <v>100000</v>
      </c>
      <c r="J150" s="18">
        <f t="shared" si="7"/>
        <v>-94045</v>
      </c>
      <c r="K150" s="20">
        <f t="shared" si="8"/>
        <v>5.9549999999999999E-2</v>
      </c>
    </row>
    <row r="151" spans="1:11" x14ac:dyDescent="0.3">
      <c r="A151" s="18" t="s">
        <v>65</v>
      </c>
      <c r="B151" s="19" t="s">
        <v>263</v>
      </c>
      <c r="C151" s="18" t="s">
        <v>379</v>
      </c>
      <c r="D151" s="18" t="s">
        <v>390</v>
      </c>
      <c r="E151" s="18" t="s">
        <v>396</v>
      </c>
      <c r="F151" s="18">
        <v>5</v>
      </c>
      <c r="G151" s="18">
        <v>1145</v>
      </c>
      <c r="H151" s="18">
        <f t="shared" si="6"/>
        <v>5725</v>
      </c>
      <c r="I151" s="18">
        <v>75000</v>
      </c>
      <c r="J151" s="18">
        <f t="shared" si="7"/>
        <v>-69275</v>
      </c>
      <c r="K151" s="20">
        <f t="shared" si="8"/>
        <v>7.6333333333333336E-2</v>
      </c>
    </row>
    <row r="152" spans="1:11" x14ac:dyDescent="0.3">
      <c r="A152" s="18" t="s">
        <v>87</v>
      </c>
      <c r="B152" s="19" t="s">
        <v>285</v>
      </c>
      <c r="C152" s="18" t="s">
        <v>380</v>
      </c>
      <c r="D152" s="18" t="s">
        <v>392</v>
      </c>
      <c r="E152" s="18" t="s">
        <v>395</v>
      </c>
      <c r="F152" s="18">
        <v>3</v>
      </c>
      <c r="G152" s="18">
        <v>1771</v>
      </c>
      <c r="H152" s="18">
        <f t="shared" si="6"/>
        <v>5313</v>
      </c>
      <c r="I152" s="18">
        <v>70000</v>
      </c>
      <c r="J152" s="18">
        <f t="shared" si="7"/>
        <v>-64687</v>
      </c>
      <c r="K152" s="20">
        <f t="shared" si="8"/>
        <v>7.5899999999999995E-2</v>
      </c>
    </row>
    <row r="153" spans="1:11" x14ac:dyDescent="0.3">
      <c r="A153" s="18" t="s">
        <v>159</v>
      </c>
      <c r="B153" s="19" t="s">
        <v>227</v>
      </c>
      <c r="C153" s="18" t="s">
        <v>388</v>
      </c>
      <c r="D153" s="18" t="s">
        <v>390</v>
      </c>
      <c r="E153" s="18" t="s">
        <v>394</v>
      </c>
      <c r="F153" s="18">
        <v>10</v>
      </c>
      <c r="G153" s="18">
        <v>529</v>
      </c>
      <c r="H153" s="18">
        <f t="shared" si="6"/>
        <v>5290</v>
      </c>
      <c r="I153" s="18">
        <v>50000</v>
      </c>
      <c r="J153" s="18">
        <f t="shared" si="7"/>
        <v>-44710</v>
      </c>
      <c r="K153" s="20">
        <f t="shared" si="8"/>
        <v>0.10580000000000001</v>
      </c>
    </row>
    <row r="154" spans="1:11" x14ac:dyDescent="0.3">
      <c r="A154" s="18" t="s">
        <v>201</v>
      </c>
      <c r="B154" s="19" t="s">
        <v>371</v>
      </c>
      <c r="C154" s="18" t="s">
        <v>378</v>
      </c>
      <c r="D154" s="18" t="s">
        <v>392</v>
      </c>
      <c r="E154" s="18" t="s">
        <v>396</v>
      </c>
      <c r="F154" s="18">
        <v>2</v>
      </c>
      <c r="G154" s="18">
        <v>2617</v>
      </c>
      <c r="H154" s="18">
        <f t="shared" si="6"/>
        <v>5234</v>
      </c>
      <c r="I154" s="18">
        <v>75000</v>
      </c>
      <c r="J154" s="18">
        <f t="shared" si="7"/>
        <v>-69766</v>
      </c>
      <c r="K154" s="20">
        <f t="shared" si="8"/>
        <v>6.9786666666666664E-2</v>
      </c>
    </row>
    <row r="155" spans="1:11" x14ac:dyDescent="0.3">
      <c r="A155" s="18" t="s">
        <v>202</v>
      </c>
      <c r="B155" s="19" t="s">
        <v>285</v>
      </c>
      <c r="C155" s="18" t="s">
        <v>376</v>
      </c>
      <c r="D155" s="18" t="s">
        <v>393</v>
      </c>
      <c r="E155" s="18" t="s">
        <v>396</v>
      </c>
      <c r="F155" s="18">
        <v>4</v>
      </c>
      <c r="G155" s="18">
        <v>1282</v>
      </c>
      <c r="H155" s="18">
        <f t="shared" si="6"/>
        <v>5128</v>
      </c>
      <c r="I155" s="18">
        <v>75000</v>
      </c>
      <c r="J155" s="18">
        <f t="shared" si="7"/>
        <v>-69872</v>
      </c>
      <c r="K155" s="20">
        <f t="shared" si="8"/>
        <v>6.8373333333333328E-2</v>
      </c>
    </row>
    <row r="156" spans="1:11" x14ac:dyDescent="0.3">
      <c r="A156" s="18" t="s">
        <v>91</v>
      </c>
      <c r="B156" s="19" t="s">
        <v>289</v>
      </c>
      <c r="C156" s="18" t="s">
        <v>381</v>
      </c>
      <c r="D156" s="18" t="s">
        <v>403</v>
      </c>
      <c r="E156" s="18" t="s">
        <v>396</v>
      </c>
      <c r="F156" s="18">
        <v>2</v>
      </c>
      <c r="G156" s="18">
        <v>2524</v>
      </c>
      <c r="H156" s="18">
        <f t="shared" si="6"/>
        <v>5048</v>
      </c>
      <c r="I156" s="18">
        <v>75000</v>
      </c>
      <c r="J156" s="18">
        <f t="shared" si="7"/>
        <v>-69952</v>
      </c>
      <c r="K156" s="20">
        <f t="shared" si="8"/>
        <v>6.7306666666666667E-2</v>
      </c>
    </row>
    <row r="157" spans="1:11" x14ac:dyDescent="0.3">
      <c r="A157" s="18" t="s">
        <v>79</v>
      </c>
      <c r="B157" s="19" t="s">
        <v>277</v>
      </c>
      <c r="C157" s="18" t="s">
        <v>380</v>
      </c>
      <c r="D157" s="18" t="s">
        <v>392</v>
      </c>
      <c r="E157" s="18" t="s">
        <v>394</v>
      </c>
      <c r="F157" s="18">
        <v>2</v>
      </c>
      <c r="G157" s="18">
        <v>2486</v>
      </c>
      <c r="H157" s="18">
        <f t="shared" si="6"/>
        <v>4972</v>
      </c>
      <c r="I157" s="18">
        <v>50000</v>
      </c>
      <c r="J157" s="18">
        <f t="shared" si="7"/>
        <v>-45028</v>
      </c>
      <c r="K157" s="20">
        <f t="shared" si="8"/>
        <v>9.9440000000000001E-2</v>
      </c>
    </row>
    <row r="158" spans="1:11" x14ac:dyDescent="0.3">
      <c r="A158" s="18" t="s">
        <v>142</v>
      </c>
      <c r="B158" s="19" t="s">
        <v>313</v>
      </c>
      <c r="C158" s="18" t="s">
        <v>383</v>
      </c>
      <c r="D158" s="18" t="s">
        <v>393</v>
      </c>
      <c r="E158" s="18" t="s">
        <v>397</v>
      </c>
      <c r="F158" s="18">
        <v>1</v>
      </c>
      <c r="G158" s="18">
        <v>4902</v>
      </c>
      <c r="H158" s="18">
        <f t="shared" si="6"/>
        <v>4902</v>
      </c>
      <c r="I158" s="18">
        <v>100000</v>
      </c>
      <c r="J158" s="18">
        <f t="shared" si="7"/>
        <v>-95098</v>
      </c>
      <c r="K158" s="20">
        <f t="shared" si="8"/>
        <v>4.9020000000000001E-2</v>
      </c>
    </row>
    <row r="159" spans="1:11" x14ac:dyDescent="0.3">
      <c r="A159" s="18" t="s">
        <v>52</v>
      </c>
      <c r="B159" s="19" t="s">
        <v>250</v>
      </c>
      <c r="C159" s="18" t="s">
        <v>386</v>
      </c>
      <c r="D159" s="18" t="s">
        <v>393</v>
      </c>
      <c r="E159" s="18" t="s">
        <v>396</v>
      </c>
      <c r="F159" s="18">
        <v>7</v>
      </c>
      <c r="G159" s="18">
        <v>680</v>
      </c>
      <c r="H159" s="18">
        <f t="shared" si="6"/>
        <v>4760</v>
      </c>
      <c r="I159" s="18">
        <v>75000</v>
      </c>
      <c r="J159" s="18">
        <f t="shared" si="7"/>
        <v>-70240</v>
      </c>
      <c r="K159" s="20">
        <f t="shared" si="8"/>
        <v>6.3466666666666671E-2</v>
      </c>
    </row>
    <row r="160" spans="1:11" x14ac:dyDescent="0.3">
      <c r="A160" s="18" t="s">
        <v>165</v>
      </c>
      <c r="B160" s="19" t="s">
        <v>279</v>
      </c>
      <c r="C160" s="18" t="s">
        <v>385</v>
      </c>
      <c r="D160" s="18" t="s">
        <v>393</v>
      </c>
      <c r="E160" s="18" t="s">
        <v>395</v>
      </c>
      <c r="F160" s="18">
        <v>1</v>
      </c>
      <c r="G160" s="18">
        <v>4644</v>
      </c>
      <c r="H160" s="18">
        <f t="shared" si="6"/>
        <v>4644</v>
      </c>
      <c r="I160" s="18">
        <v>70000</v>
      </c>
      <c r="J160" s="18">
        <f t="shared" si="7"/>
        <v>-65356</v>
      </c>
      <c r="K160" s="20">
        <f t="shared" si="8"/>
        <v>6.6342857142857148E-2</v>
      </c>
    </row>
    <row r="161" spans="1:11" x14ac:dyDescent="0.3">
      <c r="A161" s="18" t="s">
        <v>140</v>
      </c>
      <c r="B161" s="19" t="s">
        <v>332</v>
      </c>
      <c r="C161" s="18" t="s">
        <v>387</v>
      </c>
      <c r="D161" s="18" t="s">
        <v>391</v>
      </c>
      <c r="E161" s="18" t="s">
        <v>394</v>
      </c>
      <c r="F161" s="18">
        <v>1</v>
      </c>
      <c r="G161" s="18">
        <v>4575</v>
      </c>
      <c r="H161" s="18">
        <f t="shared" si="6"/>
        <v>4575</v>
      </c>
      <c r="I161" s="18">
        <v>50000</v>
      </c>
      <c r="J161" s="18">
        <f t="shared" si="7"/>
        <v>-45425</v>
      </c>
      <c r="K161" s="20">
        <f t="shared" si="8"/>
        <v>9.1499999999999998E-2</v>
      </c>
    </row>
    <row r="162" spans="1:11" x14ac:dyDescent="0.3">
      <c r="A162" s="18" t="s">
        <v>28</v>
      </c>
      <c r="B162" s="19" t="s">
        <v>227</v>
      </c>
      <c r="C162" s="18"/>
      <c r="D162" s="18" t="s">
        <v>390</v>
      </c>
      <c r="E162" s="18" t="s">
        <v>397</v>
      </c>
      <c r="F162" s="18">
        <v>3</v>
      </c>
      <c r="G162" s="18">
        <v>1510</v>
      </c>
      <c r="H162" s="18">
        <f t="shared" si="6"/>
        <v>4530</v>
      </c>
      <c r="I162" s="18">
        <v>100000</v>
      </c>
      <c r="J162" s="18">
        <f t="shared" si="7"/>
        <v>-95470</v>
      </c>
      <c r="K162" s="20">
        <f t="shared" si="8"/>
        <v>4.53E-2</v>
      </c>
    </row>
    <row r="163" spans="1:11" x14ac:dyDescent="0.3">
      <c r="A163" s="18" t="s">
        <v>170</v>
      </c>
      <c r="B163" s="19" t="s">
        <v>349</v>
      </c>
      <c r="C163" s="18" t="s">
        <v>381</v>
      </c>
      <c r="D163" s="18" t="s">
        <v>393</v>
      </c>
      <c r="E163" s="18" t="s">
        <v>475</v>
      </c>
      <c r="F163" s="18">
        <v>4</v>
      </c>
      <c r="G163" s="18">
        <v>1129</v>
      </c>
      <c r="H163" s="18">
        <f t="shared" si="6"/>
        <v>4516</v>
      </c>
      <c r="I163" s="18">
        <v>20000</v>
      </c>
      <c r="J163" s="18">
        <f t="shared" si="7"/>
        <v>-15484</v>
      </c>
      <c r="K163" s="20">
        <f t="shared" si="8"/>
        <v>0.2258</v>
      </c>
    </row>
    <row r="164" spans="1:11" x14ac:dyDescent="0.3">
      <c r="A164" s="18" t="s">
        <v>131</v>
      </c>
      <c r="B164" s="19" t="s">
        <v>213</v>
      </c>
      <c r="C164" s="18" t="s">
        <v>379</v>
      </c>
      <c r="D164" s="18" t="s">
        <v>392</v>
      </c>
      <c r="E164" s="18" t="s">
        <v>395</v>
      </c>
      <c r="F164" s="18">
        <v>1</v>
      </c>
      <c r="G164" s="18">
        <v>4432</v>
      </c>
      <c r="H164" s="18">
        <f t="shared" si="6"/>
        <v>4432</v>
      </c>
      <c r="I164" s="18">
        <v>70000</v>
      </c>
      <c r="J164" s="18">
        <f t="shared" si="7"/>
        <v>-65568</v>
      </c>
      <c r="K164" s="20">
        <f t="shared" si="8"/>
        <v>6.3314285714285712E-2</v>
      </c>
    </row>
    <row r="165" spans="1:11" x14ac:dyDescent="0.3">
      <c r="A165" s="18" t="s">
        <v>129</v>
      </c>
      <c r="B165" s="19" t="s">
        <v>322</v>
      </c>
      <c r="C165" s="18" t="s">
        <v>383</v>
      </c>
      <c r="D165" s="18" t="s">
        <v>393</v>
      </c>
      <c r="E165" s="18" t="s">
        <v>394</v>
      </c>
      <c r="F165" s="18">
        <v>1</v>
      </c>
      <c r="G165" s="18">
        <v>4249</v>
      </c>
      <c r="H165" s="18">
        <f t="shared" si="6"/>
        <v>4249</v>
      </c>
      <c r="I165" s="18">
        <v>50000</v>
      </c>
      <c r="J165" s="18">
        <f t="shared" si="7"/>
        <v>-45751</v>
      </c>
      <c r="K165" s="20">
        <f t="shared" si="8"/>
        <v>8.498E-2</v>
      </c>
    </row>
    <row r="166" spans="1:11" x14ac:dyDescent="0.3">
      <c r="A166" s="18" t="s">
        <v>111</v>
      </c>
      <c r="B166" s="19" t="s">
        <v>308</v>
      </c>
      <c r="C166" s="18" t="s">
        <v>384</v>
      </c>
      <c r="D166" s="18" t="s">
        <v>393</v>
      </c>
      <c r="E166" s="18" t="s">
        <v>395</v>
      </c>
      <c r="F166" s="18">
        <v>10</v>
      </c>
      <c r="G166" s="18">
        <v>422</v>
      </c>
      <c r="H166" s="18">
        <f t="shared" si="6"/>
        <v>4220</v>
      </c>
      <c r="I166" s="18">
        <v>70000</v>
      </c>
      <c r="J166" s="18">
        <f t="shared" si="7"/>
        <v>-65780</v>
      </c>
      <c r="K166" s="20">
        <f t="shared" si="8"/>
        <v>6.0285714285714283E-2</v>
      </c>
    </row>
    <row r="167" spans="1:11" x14ac:dyDescent="0.3">
      <c r="A167" s="18" t="s">
        <v>178</v>
      </c>
      <c r="B167" s="19" t="s">
        <v>258</v>
      </c>
      <c r="C167" s="18" t="s">
        <v>378</v>
      </c>
      <c r="D167" s="18" t="s">
        <v>393</v>
      </c>
      <c r="E167" s="18" t="s">
        <v>396</v>
      </c>
      <c r="F167" s="18">
        <v>7</v>
      </c>
      <c r="G167" s="18">
        <v>557</v>
      </c>
      <c r="H167" s="18">
        <f t="shared" si="6"/>
        <v>3899</v>
      </c>
      <c r="I167" s="18">
        <v>75000</v>
      </c>
      <c r="J167" s="18">
        <f t="shared" si="7"/>
        <v>-71101</v>
      </c>
      <c r="K167" s="20">
        <f t="shared" si="8"/>
        <v>5.1986666666666667E-2</v>
      </c>
    </row>
    <row r="168" spans="1:11" x14ac:dyDescent="0.3">
      <c r="A168" s="18" t="s">
        <v>23</v>
      </c>
      <c r="B168" s="19" t="s">
        <v>210</v>
      </c>
      <c r="C168" s="18" t="s">
        <v>385</v>
      </c>
      <c r="D168" s="18" t="s">
        <v>392</v>
      </c>
      <c r="E168" s="18" t="s">
        <v>398</v>
      </c>
      <c r="F168" s="18">
        <v>5</v>
      </c>
      <c r="G168" s="18">
        <v>742</v>
      </c>
      <c r="H168" s="18">
        <f t="shared" si="6"/>
        <v>3710</v>
      </c>
      <c r="I168" s="18">
        <v>60000</v>
      </c>
      <c r="J168" s="18">
        <f t="shared" si="7"/>
        <v>-56290</v>
      </c>
      <c r="K168" s="20">
        <f t="shared" si="8"/>
        <v>6.183333333333333E-2</v>
      </c>
    </row>
    <row r="169" spans="1:11" x14ac:dyDescent="0.3">
      <c r="A169" s="18" t="s">
        <v>127</v>
      </c>
      <c r="B169" s="19" t="s">
        <v>320</v>
      </c>
      <c r="C169" s="18" t="s">
        <v>380</v>
      </c>
      <c r="D169" s="18" t="s">
        <v>392</v>
      </c>
      <c r="E169" s="18" t="s">
        <v>394</v>
      </c>
      <c r="F169" s="18">
        <v>4</v>
      </c>
      <c r="G169" s="18">
        <v>909</v>
      </c>
      <c r="H169" s="18">
        <f t="shared" si="6"/>
        <v>3636</v>
      </c>
      <c r="I169" s="18">
        <v>50000</v>
      </c>
      <c r="J169" s="18">
        <f t="shared" si="7"/>
        <v>-46364</v>
      </c>
      <c r="K169" s="20">
        <f t="shared" si="8"/>
        <v>7.2720000000000007E-2</v>
      </c>
    </row>
    <row r="170" spans="1:11" x14ac:dyDescent="0.3">
      <c r="A170" s="18" t="s">
        <v>47</v>
      </c>
      <c r="B170" s="19" t="s">
        <v>245</v>
      </c>
      <c r="C170" s="18" t="s">
        <v>386</v>
      </c>
      <c r="D170" s="18" t="s">
        <v>390</v>
      </c>
      <c r="E170" s="18" t="s">
        <v>397</v>
      </c>
      <c r="F170" s="18">
        <v>1</v>
      </c>
      <c r="G170" s="18">
        <v>3498</v>
      </c>
      <c r="H170" s="18">
        <f t="shared" si="6"/>
        <v>3498</v>
      </c>
      <c r="I170" s="18">
        <v>100000</v>
      </c>
      <c r="J170" s="18">
        <f t="shared" si="7"/>
        <v>-96502</v>
      </c>
      <c r="K170" s="20">
        <f t="shared" si="8"/>
        <v>3.4979999999999997E-2</v>
      </c>
    </row>
    <row r="171" spans="1:11" x14ac:dyDescent="0.3">
      <c r="A171" s="18" t="s">
        <v>197</v>
      </c>
      <c r="B171" s="19" t="s">
        <v>368</v>
      </c>
      <c r="C171" s="18" t="s">
        <v>387</v>
      </c>
      <c r="D171" s="18" t="s">
        <v>392</v>
      </c>
      <c r="E171" s="18" t="s">
        <v>394</v>
      </c>
      <c r="F171" s="18">
        <v>1</v>
      </c>
      <c r="G171" s="18">
        <v>3442</v>
      </c>
      <c r="H171" s="18">
        <f t="shared" si="6"/>
        <v>3442</v>
      </c>
      <c r="I171" s="18">
        <v>50000</v>
      </c>
      <c r="J171" s="18">
        <f t="shared" si="7"/>
        <v>-46558</v>
      </c>
      <c r="K171" s="20">
        <f t="shared" si="8"/>
        <v>6.8839999999999998E-2</v>
      </c>
    </row>
    <row r="172" spans="1:11" x14ac:dyDescent="0.3">
      <c r="A172" s="18" t="s">
        <v>121</v>
      </c>
      <c r="B172" s="19" t="s">
        <v>316</v>
      </c>
      <c r="C172" s="18" t="s">
        <v>383</v>
      </c>
      <c r="D172" s="18" t="s">
        <v>393</v>
      </c>
      <c r="E172" s="18" t="s">
        <v>398</v>
      </c>
      <c r="F172" s="18">
        <v>4</v>
      </c>
      <c r="G172" s="18">
        <v>822</v>
      </c>
      <c r="H172" s="18">
        <f t="shared" si="6"/>
        <v>3288</v>
      </c>
      <c r="I172" s="18">
        <v>60000</v>
      </c>
      <c r="J172" s="18">
        <f t="shared" si="7"/>
        <v>-56712</v>
      </c>
      <c r="K172" s="20">
        <f t="shared" si="8"/>
        <v>5.4800000000000001E-2</v>
      </c>
    </row>
    <row r="173" spans="1:11" x14ac:dyDescent="0.3">
      <c r="A173" s="18" t="s">
        <v>71</v>
      </c>
      <c r="B173" s="19" t="s">
        <v>269</v>
      </c>
      <c r="C173" s="18" t="s">
        <v>384</v>
      </c>
      <c r="D173" s="18" t="s">
        <v>391</v>
      </c>
      <c r="E173" s="18" t="s">
        <v>395</v>
      </c>
      <c r="F173" s="18">
        <v>1</v>
      </c>
      <c r="G173" s="18">
        <v>3224</v>
      </c>
      <c r="H173" s="18">
        <f t="shared" si="6"/>
        <v>3224</v>
      </c>
      <c r="I173" s="18">
        <v>70000</v>
      </c>
      <c r="J173" s="18">
        <f t="shared" si="7"/>
        <v>-66776</v>
      </c>
      <c r="K173" s="20">
        <f t="shared" si="8"/>
        <v>4.6057142857142859E-2</v>
      </c>
    </row>
    <row r="174" spans="1:11" x14ac:dyDescent="0.3">
      <c r="A174" s="18" t="s">
        <v>115</v>
      </c>
      <c r="B174" s="19" t="s">
        <v>310</v>
      </c>
      <c r="C174" s="18" t="s">
        <v>386</v>
      </c>
      <c r="D174" s="18" t="s">
        <v>390</v>
      </c>
      <c r="E174" s="18" t="s">
        <v>395</v>
      </c>
      <c r="F174" s="18">
        <v>1</v>
      </c>
      <c r="G174" s="18">
        <v>3066</v>
      </c>
      <c r="H174" s="18">
        <f t="shared" si="6"/>
        <v>3066</v>
      </c>
      <c r="I174" s="18">
        <v>70000</v>
      </c>
      <c r="J174" s="18">
        <f t="shared" si="7"/>
        <v>-66934</v>
      </c>
      <c r="K174" s="20">
        <f t="shared" si="8"/>
        <v>4.3799999999999999E-2</v>
      </c>
    </row>
    <row r="175" spans="1:11" x14ac:dyDescent="0.3">
      <c r="A175" s="18" t="s">
        <v>120</v>
      </c>
      <c r="B175" s="19" t="s">
        <v>315</v>
      </c>
      <c r="C175" s="18" t="s">
        <v>379</v>
      </c>
      <c r="D175" s="18" t="s">
        <v>390</v>
      </c>
      <c r="E175" s="18" t="s">
        <v>395</v>
      </c>
      <c r="F175" s="18">
        <v>1</v>
      </c>
      <c r="G175" s="18">
        <v>2755</v>
      </c>
      <c r="H175" s="18">
        <f t="shared" si="6"/>
        <v>2755</v>
      </c>
      <c r="I175" s="18">
        <v>70000</v>
      </c>
      <c r="J175" s="18">
        <f t="shared" si="7"/>
        <v>-67245</v>
      </c>
      <c r="K175" s="20">
        <f t="shared" si="8"/>
        <v>3.9357142857142854E-2</v>
      </c>
    </row>
    <row r="176" spans="1:11" x14ac:dyDescent="0.3">
      <c r="A176" s="18" t="s">
        <v>133</v>
      </c>
      <c r="B176" s="19" t="s">
        <v>325</v>
      </c>
      <c r="C176" s="18" t="s">
        <v>376</v>
      </c>
      <c r="D176" s="18" t="s">
        <v>393</v>
      </c>
      <c r="E176" s="18" t="s">
        <v>398</v>
      </c>
      <c r="F176" s="18">
        <v>8</v>
      </c>
      <c r="G176" s="18">
        <v>341</v>
      </c>
      <c r="H176" s="18">
        <f t="shared" si="6"/>
        <v>2728</v>
      </c>
      <c r="I176" s="18">
        <v>60000</v>
      </c>
      <c r="J176" s="18">
        <f t="shared" si="7"/>
        <v>-57272</v>
      </c>
      <c r="K176" s="20">
        <f t="shared" si="8"/>
        <v>4.5466666666666669E-2</v>
      </c>
    </row>
    <row r="177" spans="1:11" x14ac:dyDescent="0.3">
      <c r="A177" s="18" t="s">
        <v>80</v>
      </c>
      <c r="B177" s="19" t="s">
        <v>278</v>
      </c>
      <c r="C177" s="18" t="s">
        <v>383</v>
      </c>
      <c r="D177" s="18" t="s">
        <v>393</v>
      </c>
      <c r="E177" s="18" t="s">
        <v>395</v>
      </c>
      <c r="F177" s="18">
        <v>6</v>
      </c>
      <c r="G177" s="18">
        <v>426</v>
      </c>
      <c r="H177" s="18">
        <f t="shared" si="6"/>
        <v>2556</v>
      </c>
      <c r="I177" s="18">
        <v>70000</v>
      </c>
      <c r="J177" s="18">
        <f t="shared" si="7"/>
        <v>-67444</v>
      </c>
      <c r="K177" s="20">
        <f t="shared" si="8"/>
        <v>3.6514285714285714E-2</v>
      </c>
    </row>
    <row r="178" spans="1:11" x14ac:dyDescent="0.3">
      <c r="A178" s="18" t="s">
        <v>190</v>
      </c>
      <c r="B178" s="19" t="s">
        <v>318</v>
      </c>
      <c r="C178" s="18" t="s">
        <v>383</v>
      </c>
      <c r="D178" s="18" t="s">
        <v>391</v>
      </c>
      <c r="E178" s="18" t="s">
        <v>396</v>
      </c>
      <c r="F178" s="18">
        <v>3</v>
      </c>
      <c r="G178" s="18">
        <v>846</v>
      </c>
      <c r="H178" s="18">
        <f t="shared" si="6"/>
        <v>2538</v>
      </c>
      <c r="I178" s="18">
        <v>75000</v>
      </c>
      <c r="J178" s="18">
        <f t="shared" si="7"/>
        <v>-72462</v>
      </c>
      <c r="K178" s="20">
        <f t="shared" si="8"/>
        <v>3.3840000000000002E-2</v>
      </c>
    </row>
    <row r="179" spans="1:11" x14ac:dyDescent="0.3">
      <c r="A179" s="18" t="s">
        <v>182</v>
      </c>
      <c r="B179" s="19" t="s">
        <v>358</v>
      </c>
      <c r="C179" s="18" t="s">
        <v>376</v>
      </c>
      <c r="D179" s="18" t="s">
        <v>391</v>
      </c>
      <c r="E179" s="18" t="s">
        <v>398</v>
      </c>
      <c r="F179" s="18">
        <v>3</v>
      </c>
      <c r="G179" s="18">
        <v>812</v>
      </c>
      <c r="H179" s="18">
        <f t="shared" si="6"/>
        <v>2436</v>
      </c>
      <c r="I179" s="18">
        <v>60000</v>
      </c>
      <c r="J179" s="18">
        <f t="shared" si="7"/>
        <v>-57564</v>
      </c>
      <c r="K179" s="20">
        <f t="shared" si="8"/>
        <v>4.0599999999999997E-2</v>
      </c>
    </row>
    <row r="180" spans="1:11" x14ac:dyDescent="0.3">
      <c r="A180" s="18" t="s">
        <v>64</v>
      </c>
      <c r="B180" s="19" t="s">
        <v>262</v>
      </c>
      <c r="C180" s="18" t="s">
        <v>386</v>
      </c>
      <c r="D180" s="18" t="s">
        <v>392</v>
      </c>
      <c r="E180" s="18" t="s">
        <v>475</v>
      </c>
      <c r="F180" s="18">
        <v>9</v>
      </c>
      <c r="G180" s="18">
        <v>264</v>
      </c>
      <c r="H180" s="18">
        <f t="shared" si="6"/>
        <v>2376</v>
      </c>
      <c r="I180" s="18">
        <v>20000</v>
      </c>
      <c r="J180" s="18">
        <f t="shared" si="7"/>
        <v>-17624</v>
      </c>
      <c r="K180" s="20">
        <f t="shared" si="8"/>
        <v>0.1188</v>
      </c>
    </row>
    <row r="181" spans="1:11" x14ac:dyDescent="0.3">
      <c r="A181" s="18" t="s">
        <v>41</v>
      </c>
      <c r="B181" s="19" t="s">
        <v>239</v>
      </c>
      <c r="C181" s="18" t="s">
        <v>388</v>
      </c>
      <c r="D181" s="18" t="s">
        <v>391</v>
      </c>
      <c r="E181" s="18" t="s">
        <v>397</v>
      </c>
      <c r="F181" s="18">
        <v>6</v>
      </c>
      <c r="G181" s="18">
        <v>372</v>
      </c>
      <c r="H181" s="18">
        <f t="shared" si="6"/>
        <v>2232</v>
      </c>
      <c r="I181" s="18">
        <v>100000</v>
      </c>
      <c r="J181" s="18">
        <f t="shared" si="7"/>
        <v>-97768</v>
      </c>
      <c r="K181" s="20">
        <f t="shared" si="8"/>
        <v>2.232E-2</v>
      </c>
    </row>
    <row r="182" spans="1:11" x14ac:dyDescent="0.3">
      <c r="A182" s="18" t="s">
        <v>116</v>
      </c>
      <c r="B182" s="19" t="s">
        <v>311</v>
      </c>
      <c r="C182" s="18" t="s">
        <v>383</v>
      </c>
      <c r="D182" s="18" t="s">
        <v>390</v>
      </c>
      <c r="E182" s="18" t="s">
        <v>397</v>
      </c>
      <c r="F182" s="18">
        <v>1</v>
      </c>
      <c r="G182" s="18">
        <v>2225</v>
      </c>
      <c r="H182" s="18">
        <f t="shared" si="6"/>
        <v>2225</v>
      </c>
      <c r="I182" s="18">
        <v>100000</v>
      </c>
      <c r="J182" s="18">
        <f t="shared" si="7"/>
        <v>-97775</v>
      </c>
      <c r="K182" s="20">
        <f t="shared" si="8"/>
        <v>2.2249999999999999E-2</v>
      </c>
    </row>
    <row r="183" spans="1:11" x14ac:dyDescent="0.3">
      <c r="A183" s="18" t="s">
        <v>22</v>
      </c>
      <c r="B183" s="19" t="s">
        <v>222</v>
      </c>
      <c r="C183" s="18" t="s">
        <v>384</v>
      </c>
      <c r="D183" s="18" t="s">
        <v>391</v>
      </c>
      <c r="E183" s="18" t="s">
        <v>394</v>
      </c>
      <c r="F183" s="18">
        <v>1</v>
      </c>
      <c r="G183" s="18">
        <v>2076</v>
      </c>
      <c r="H183" s="18">
        <f t="shared" si="6"/>
        <v>2076</v>
      </c>
      <c r="I183" s="18">
        <v>50000</v>
      </c>
      <c r="J183" s="18">
        <f t="shared" si="7"/>
        <v>-47924</v>
      </c>
      <c r="K183" s="20">
        <f t="shared" si="8"/>
        <v>4.1520000000000001E-2</v>
      </c>
    </row>
    <row r="184" spans="1:11" x14ac:dyDescent="0.3">
      <c r="A184" s="18" t="s">
        <v>158</v>
      </c>
      <c r="B184" s="19" t="s">
        <v>342</v>
      </c>
      <c r="C184" s="18" t="s">
        <v>376</v>
      </c>
      <c r="D184" s="18" t="s">
        <v>392</v>
      </c>
      <c r="E184" s="18" t="s">
        <v>395</v>
      </c>
      <c r="F184" s="18">
        <v>5</v>
      </c>
      <c r="G184" s="18">
        <v>411</v>
      </c>
      <c r="H184" s="18">
        <f t="shared" si="6"/>
        <v>2055</v>
      </c>
      <c r="I184" s="18">
        <v>70000</v>
      </c>
      <c r="J184" s="18">
        <f t="shared" si="7"/>
        <v>-67945</v>
      </c>
      <c r="K184" s="20">
        <f t="shared" si="8"/>
        <v>2.9357142857142856E-2</v>
      </c>
    </row>
    <row r="185" spans="1:11" x14ac:dyDescent="0.3">
      <c r="A185" s="18" t="s">
        <v>105</v>
      </c>
      <c r="B185" s="19" t="s">
        <v>303</v>
      </c>
      <c r="C185" s="18" t="s">
        <v>387</v>
      </c>
      <c r="D185" s="18" t="s">
        <v>393</v>
      </c>
      <c r="E185" s="18" t="s">
        <v>398</v>
      </c>
      <c r="F185" s="18">
        <v>1</v>
      </c>
      <c r="G185" s="18">
        <v>1894</v>
      </c>
      <c r="H185" s="18">
        <f t="shared" si="6"/>
        <v>1894</v>
      </c>
      <c r="I185" s="18">
        <v>60000</v>
      </c>
      <c r="J185" s="18">
        <f t="shared" si="7"/>
        <v>-58106</v>
      </c>
      <c r="K185" s="20">
        <f t="shared" si="8"/>
        <v>3.1566666666666666E-2</v>
      </c>
    </row>
    <row r="186" spans="1:11" x14ac:dyDescent="0.3">
      <c r="A186" s="18" t="s">
        <v>167</v>
      </c>
      <c r="B186" s="19" t="s">
        <v>347</v>
      </c>
      <c r="C186" s="18" t="s">
        <v>385</v>
      </c>
      <c r="D186" s="18" t="s">
        <v>393</v>
      </c>
      <c r="E186" s="18" t="s">
        <v>398</v>
      </c>
      <c r="F186" s="18">
        <v>1</v>
      </c>
      <c r="G186" s="18">
        <v>1867</v>
      </c>
      <c r="H186" s="18">
        <f t="shared" si="6"/>
        <v>1867</v>
      </c>
      <c r="I186" s="18">
        <v>60000</v>
      </c>
      <c r="J186" s="18">
        <f t="shared" si="7"/>
        <v>-58133</v>
      </c>
      <c r="K186" s="20">
        <f t="shared" si="8"/>
        <v>3.1116666666666667E-2</v>
      </c>
    </row>
    <row r="187" spans="1:11" x14ac:dyDescent="0.3">
      <c r="A187" s="18" t="s">
        <v>34</v>
      </c>
      <c r="B187" s="19" t="s">
        <v>232</v>
      </c>
      <c r="C187" s="18" t="s">
        <v>387</v>
      </c>
      <c r="D187" s="18" t="s">
        <v>391</v>
      </c>
      <c r="E187" s="18" t="s">
        <v>395</v>
      </c>
      <c r="F187" s="18">
        <v>9</v>
      </c>
      <c r="G187" s="18">
        <v>204</v>
      </c>
      <c r="H187" s="18">
        <f t="shared" si="6"/>
        <v>1836</v>
      </c>
      <c r="I187" s="18">
        <v>70000</v>
      </c>
      <c r="J187" s="18">
        <f t="shared" si="7"/>
        <v>-68164</v>
      </c>
      <c r="K187" s="20">
        <f t="shared" si="8"/>
        <v>2.6228571428571427E-2</v>
      </c>
    </row>
    <row r="188" spans="1:11" x14ac:dyDescent="0.3">
      <c r="A188" s="18" t="s">
        <v>75</v>
      </c>
      <c r="B188" s="19" t="s">
        <v>273</v>
      </c>
      <c r="C188" s="18" t="s">
        <v>385</v>
      </c>
      <c r="D188" s="18" t="s">
        <v>391</v>
      </c>
      <c r="E188" s="18" t="s">
        <v>398</v>
      </c>
      <c r="F188" s="18">
        <v>1</v>
      </c>
      <c r="G188" s="18">
        <v>1669</v>
      </c>
      <c r="H188" s="18">
        <f t="shared" si="6"/>
        <v>1669</v>
      </c>
      <c r="I188" s="18">
        <v>60000</v>
      </c>
      <c r="J188" s="18">
        <f t="shared" si="7"/>
        <v>-58331</v>
      </c>
      <c r="K188" s="20">
        <f t="shared" si="8"/>
        <v>2.7816666666666667E-2</v>
      </c>
    </row>
    <row r="189" spans="1:11" x14ac:dyDescent="0.3">
      <c r="A189" s="18" t="s">
        <v>72</v>
      </c>
      <c r="B189" s="19" t="s">
        <v>270</v>
      </c>
      <c r="C189" s="18" t="s">
        <v>381</v>
      </c>
      <c r="D189" s="18" t="s">
        <v>391</v>
      </c>
      <c r="E189" s="18" t="s">
        <v>398</v>
      </c>
      <c r="F189" s="18">
        <v>3</v>
      </c>
      <c r="G189" s="18">
        <v>542</v>
      </c>
      <c r="H189" s="18">
        <f t="shared" si="6"/>
        <v>1626</v>
      </c>
      <c r="I189" s="18">
        <v>60000</v>
      </c>
      <c r="J189" s="18">
        <f t="shared" si="7"/>
        <v>-58374</v>
      </c>
      <c r="K189" s="20">
        <f t="shared" si="8"/>
        <v>2.7099999999999999E-2</v>
      </c>
    </row>
    <row r="190" spans="1:11" x14ac:dyDescent="0.3">
      <c r="A190" s="18" t="s">
        <v>78</v>
      </c>
      <c r="B190" s="19" t="s">
        <v>276</v>
      </c>
      <c r="C190" s="18" t="s">
        <v>387</v>
      </c>
      <c r="D190" s="18" t="s">
        <v>392</v>
      </c>
      <c r="E190" s="18" t="s">
        <v>396</v>
      </c>
      <c r="F190" s="18">
        <v>4</v>
      </c>
      <c r="G190" s="18">
        <v>393</v>
      </c>
      <c r="H190" s="18">
        <f t="shared" si="6"/>
        <v>1572</v>
      </c>
      <c r="I190" s="18">
        <v>75000</v>
      </c>
      <c r="J190" s="18">
        <f t="shared" si="7"/>
        <v>-73428</v>
      </c>
      <c r="K190" s="20">
        <f t="shared" si="8"/>
        <v>2.0959999999999999E-2</v>
      </c>
    </row>
    <row r="191" spans="1:11" x14ac:dyDescent="0.3">
      <c r="A191" s="18" t="s">
        <v>70</v>
      </c>
      <c r="B191" s="19" t="s">
        <v>268</v>
      </c>
      <c r="C191" s="18" t="s">
        <v>376</v>
      </c>
      <c r="D191" s="18" t="s">
        <v>393</v>
      </c>
      <c r="E191" s="18" t="s">
        <v>395</v>
      </c>
      <c r="F191" s="18">
        <v>1</v>
      </c>
      <c r="G191" s="18">
        <v>1116</v>
      </c>
      <c r="H191" s="18">
        <f t="shared" si="6"/>
        <v>1116</v>
      </c>
      <c r="I191" s="18">
        <v>70000</v>
      </c>
      <c r="J191" s="18">
        <f t="shared" si="7"/>
        <v>-68884</v>
      </c>
      <c r="K191" s="20">
        <f t="shared" si="8"/>
        <v>1.5942857142857144E-2</v>
      </c>
    </row>
    <row r="192" spans="1:11" x14ac:dyDescent="0.3">
      <c r="A192" s="18" t="s">
        <v>157</v>
      </c>
      <c r="B192" s="19" t="s">
        <v>341</v>
      </c>
      <c r="C192" s="18" t="s">
        <v>381</v>
      </c>
      <c r="D192" s="18" t="s">
        <v>393</v>
      </c>
      <c r="E192" s="18" t="s">
        <v>398</v>
      </c>
      <c r="F192" s="18">
        <v>2</v>
      </c>
      <c r="G192" s="18">
        <v>526</v>
      </c>
      <c r="H192" s="18">
        <f t="shared" si="6"/>
        <v>1052</v>
      </c>
      <c r="I192" s="18">
        <v>60000</v>
      </c>
      <c r="J192" s="18">
        <f t="shared" si="7"/>
        <v>-58948</v>
      </c>
      <c r="K192" s="20">
        <f t="shared" si="8"/>
        <v>1.7533333333333335E-2</v>
      </c>
    </row>
    <row r="193" spans="1:11" x14ac:dyDescent="0.3">
      <c r="A193" s="18" t="s">
        <v>42</v>
      </c>
      <c r="B193" s="19" t="s">
        <v>240</v>
      </c>
      <c r="C193" s="18" t="s">
        <v>381</v>
      </c>
      <c r="D193" s="18" t="s">
        <v>391</v>
      </c>
      <c r="E193" s="18" t="s">
        <v>395</v>
      </c>
      <c r="F193" s="18">
        <v>4</v>
      </c>
      <c r="G193" s="18">
        <v>258</v>
      </c>
      <c r="H193" s="18">
        <f t="shared" si="6"/>
        <v>1032</v>
      </c>
      <c r="I193" s="18">
        <v>70000</v>
      </c>
      <c r="J193" s="18">
        <f t="shared" si="7"/>
        <v>-68968</v>
      </c>
      <c r="K193" s="20">
        <f t="shared" si="8"/>
        <v>1.4742857142857143E-2</v>
      </c>
    </row>
    <row r="194" spans="1:11" x14ac:dyDescent="0.3">
      <c r="A194" s="18" t="s">
        <v>185</v>
      </c>
      <c r="B194" s="19" t="s">
        <v>361</v>
      </c>
      <c r="C194" s="18" t="s">
        <v>376</v>
      </c>
      <c r="D194" s="18" t="s">
        <v>393</v>
      </c>
      <c r="E194" s="18" t="s">
        <v>395</v>
      </c>
      <c r="F194" s="18">
        <v>1</v>
      </c>
      <c r="G194" s="18">
        <v>760</v>
      </c>
      <c r="H194" s="18">
        <f t="shared" si="6"/>
        <v>760</v>
      </c>
      <c r="I194" s="18">
        <v>70000</v>
      </c>
      <c r="J194" s="18">
        <f t="shared" si="7"/>
        <v>-69240</v>
      </c>
      <c r="K194" s="20">
        <f t="shared" si="8"/>
        <v>1.0857142857142857E-2</v>
      </c>
    </row>
    <row r="195" spans="1:11" x14ac:dyDescent="0.3">
      <c r="A195" s="18" t="s">
        <v>55</v>
      </c>
      <c r="B195" s="19" t="s">
        <v>253</v>
      </c>
      <c r="C195" s="18" t="s">
        <v>377</v>
      </c>
      <c r="D195" s="18" t="s">
        <v>390</v>
      </c>
      <c r="E195" s="18" t="s">
        <v>394</v>
      </c>
      <c r="F195" s="18">
        <v>1</v>
      </c>
      <c r="G195" s="18">
        <v>610</v>
      </c>
      <c r="H195" s="18">
        <f t="shared" ref="H195:H201" si="9">F195*G195</f>
        <v>610</v>
      </c>
      <c r="I195" s="18">
        <v>50000</v>
      </c>
      <c r="J195" s="18">
        <f t="shared" ref="J195:J201" si="10">H195-I195</f>
        <v>-49390</v>
      </c>
      <c r="K195" s="20">
        <f t="shared" ref="K195:K201" si="11">H195/I195</f>
        <v>1.2200000000000001E-2</v>
      </c>
    </row>
    <row r="196" spans="1:11" x14ac:dyDescent="0.3">
      <c r="A196" s="18" t="s">
        <v>93</v>
      </c>
      <c r="B196" s="19" t="s">
        <v>291</v>
      </c>
      <c r="C196" s="18" t="s">
        <v>385</v>
      </c>
      <c r="D196" s="18" t="s">
        <v>391</v>
      </c>
      <c r="E196" s="18" t="s">
        <v>396</v>
      </c>
      <c r="F196" s="18">
        <v>1</v>
      </c>
      <c r="G196" s="18">
        <v>578</v>
      </c>
      <c r="H196" s="18">
        <f t="shared" si="9"/>
        <v>578</v>
      </c>
      <c r="I196" s="18">
        <v>75000</v>
      </c>
      <c r="J196" s="18">
        <f t="shared" si="10"/>
        <v>-74422</v>
      </c>
      <c r="K196" s="20">
        <f t="shared" si="11"/>
        <v>7.7066666666666664E-3</v>
      </c>
    </row>
    <row r="197" spans="1:11" x14ac:dyDescent="0.3">
      <c r="A197" s="18" t="s">
        <v>17</v>
      </c>
      <c r="B197" s="19" t="s">
        <v>217</v>
      </c>
      <c r="C197" s="18" t="s">
        <v>376</v>
      </c>
      <c r="D197" s="18" t="s">
        <v>390</v>
      </c>
      <c r="E197" s="18" t="s">
        <v>397</v>
      </c>
      <c r="F197" s="18">
        <v>4</v>
      </c>
      <c r="G197" s="18">
        <v>0</v>
      </c>
      <c r="H197" s="18">
        <f t="shared" si="9"/>
        <v>0</v>
      </c>
      <c r="I197" s="18">
        <v>100000</v>
      </c>
      <c r="J197" s="18">
        <f t="shared" si="10"/>
        <v>-100000</v>
      </c>
      <c r="K197" s="20">
        <f t="shared" si="11"/>
        <v>0</v>
      </c>
    </row>
    <row r="198" spans="1:11" x14ac:dyDescent="0.3">
      <c r="A198" s="18" t="s">
        <v>19</v>
      </c>
      <c r="B198" s="19" t="s">
        <v>219</v>
      </c>
      <c r="C198" s="18" t="s">
        <v>383</v>
      </c>
      <c r="D198" s="18" t="s">
        <v>392</v>
      </c>
      <c r="E198" s="18" t="s">
        <v>396</v>
      </c>
      <c r="F198" s="18">
        <v>6</v>
      </c>
      <c r="G198" s="18">
        <v>0</v>
      </c>
      <c r="H198" s="18">
        <f t="shared" si="9"/>
        <v>0</v>
      </c>
      <c r="I198" s="18">
        <v>75000</v>
      </c>
      <c r="J198" s="18">
        <f t="shared" si="10"/>
        <v>-75000</v>
      </c>
      <c r="K198" s="20">
        <f t="shared" si="11"/>
        <v>0</v>
      </c>
    </row>
    <row r="199" spans="1:11" x14ac:dyDescent="0.3">
      <c r="A199" s="18" t="s">
        <v>37</v>
      </c>
      <c r="B199" s="19" t="s">
        <v>235</v>
      </c>
      <c r="C199" s="18" t="s">
        <v>376</v>
      </c>
      <c r="D199" s="18" t="s">
        <v>393</v>
      </c>
      <c r="E199" s="18" t="s">
        <v>397</v>
      </c>
      <c r="F199" s="18">
        <v>9</v>
      </c>
      <c r="G199" s="18">
        <v>0</v>
      </c>
      <c r="H199" s="18">
        <f t="shared" si="9"/>
        <v>0</v>
      </c>
      <c r="I199" s="18">
        <v>100000</v>
      </c>
      <c r="J199" s="18">
        <f t="shared" si="10"/>
        <v>-100000</v>
      </c>
      <c r="K199" s="20">
        <f t="shared" si="11"/>
        <v>0</v>
      </c>
    </row>
    <row r="200" spans="1:11" x14ac:dyDescent="0.3">
      <c r="A200" s="18" t="s">
        <v>43</v>
      </c>
      <c r="B200" s="19" t="s">
        <v>241</v>
      </c>
      <c r="C200" s="18" t="s">
        <v>376</v>
      </c>
      <c r="D200" s="18" t="s">
        <v>390</v>
      </c>
      <c r="E200" s="18" t="s">
        <v>396</v>
      </c>
      <c r="F200" s="18">
        <v>2</v>
      </c>
      <c r="G200" s="18">
        <v>0</v>
      </c>
      <c r="H200" s="18">
        <f t="shared" si="9"/>
        <v>0</v>
      </c>
      <c r="I200" s="18">
        <v>75000</v>
      </c>
      <c r="J200" s="18">
        <f t="shared" si="10"/>
        <v>-75000</v>
      </c>
      <c r="K200" s="20">
        <f t="shared" si="11"/>
        <v>0</v>
      </c>
    </row>
    <row r="201" spans="1:11" x14ac:dyDescent="0.3">
      <c r="A201" s="18" t="s">
        <v>85</v>
      </c>
      <c r="B201" s="19" t="s">
        <v>283</v>
      </c>
      <c r="C201" s="18" t="s">
        <v>387</v>
      </c>
      <c r="D201" s="18" t="s">
        <v>393</v>
      </c>
      <c r="E201" s="18" t="s">
        <v>397</v>
      </c>
      <c r="F201" s="18">
        <v>0</v>
      </c>
      <c r="G201" s="18">
        <v>0</v>
      </c>
      <c r="H201" s="18">
        <f t="shared" si="9"/>
        <v>0</v>
      </c>
      <c r="I201" s="18">
        <v>100000</v>
      </c>
      <c r="J201" s="18">
        <f t="shared" si="10"/>
        <v>-100000</v>
      </c>
      <c r="K201" s="20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3A8-08FD-4390-93FA-23CBD94DA87D}">
  <dimension ref="A2:K18"/>
  <sheetViews>
    <sheetView workbookViewId="0">
      <selection activeCell="J14" sqref="J14"/>
    </sheetView>
  </sheetViews>
  <sheetFormatPr defaultRowHeight="14.4" x14ac:dyDescent="0.3"/>
  <cols>
    <col min="1" max="1" width="12.77734375" bestFit="1" customWidth="1"/>
    <col min="2" max="2" width="17" bestFit="1" customWidth="1"/>
    <col min="3" max="3" width="16.21875" customWidth="1"/>
    <col min="4" max="4" width="5" bestFit="1" customWidth="1"/>
    <col min="5" max="5" width="12.5546875" bestFit="1" customWidth="1"/>
    <col min="6" max="6" width="17" bestFit="1" customWidth="1"/>
    <col min="7" max="7" width="22" bestFit="1" customWidth="1"/>
    <col min="8" max="9" width="5" bestFit="1" customWidth="1"/>
    <col min="10" max="10" width="12.5546875" bestFit="1" customWidth="1"/>
    <col min="11" max="11" width="18.44140625" style="11" bestFit="1" customWidth="1"/>
    <col min="12" max="84" width="5" bestFit="1" customWidth="1"/>
    <col min="85" max="193" width="6" bestFit="1" customWidth="1"/>
    <col min="194" max="194" width="7.5546875" bestFit="1" customWidth="1"/>
    <col min="195" max="195" width="5.44140625" bestFit="1" customWidth="1"/>
    <col min="196" max="196" width="7.109375" bestFit="1" customWidth="1"/>
    <col min="197" max="197" width="5.6640625" bestFit="1" customWidth="1"/>
    <col min="198" max="198" width="10.77734375" bestFit="1" customWidth="1"/>
  </cols>
  <sheetData>
    <row r="2" spans="1:11" x14ac:dyDescent="0.3">
      <c r="A2" s="8" t="s">
        <v>468</v>
      </c>
      <c r="B2" t="s">
        <v>471</v>
      </c>
      <c r="E2" s="8" t="s">
        <v>468</v>
      </c>
      <c r="F2" t="s">
        <v>471</v>
      </c>
    </row>
    <row r="3" spans="1:11" x14ac:dyDescent="0.3">
      <c r="A3" s="9" t="s">
        <v>394</v>
      </c>
      <c r="B3">
        <v>552052</v>
      </c>
      <c r="E3" s="9" t="s">
        <v>392</v>
      </c>
      <c r="F3" s="10">
        <v>625156</v>
      </c>
    </row>
    <row r="4" spans="1:11" x14ac:dyDescent="0.3">
      <c r="A4" s="9" t="s">
        <v>397</v>
      </c>
      <c r="B4">
        <v>488030</v>
      </c>
      <c r="E4" s="9" t="s">
        <v>403</v>
      </c>
      <c r="F4" s="10">
        <v>127145</v>
      </c>
    </row>
    <row r="5" spans="1:11" x14ac:dyDescent="0.3">
      <c r="A5" s="9" t="s">
        <v>396</v>
      </c>
      <c r="B5">
        <v>628922</v>
      </c>
      <c r="E5" s="9" t="s">
        <v>390</v>
      </c>
      <c r="F5" s="10">
        <v>642306</v>
      </c>
      <c r="K5"/>
    </row>
    <row r="6" spans="1:11" x14ac:dyDescent="0.3">
      <c r="A6" s="9" t="s">
        <v>395</v>
      </c>
      <c r="B6">
        <v>487998</v>
      </c>
      <c r="E6" s="9" t="s">
        <v>391</v>
      </c>
      <c r="F6" s="10">
        <v>743187</v>
      </c>
      <c r="K6"/>
    </row>
    <row r="7" spans="1:11" x14ac:dyDescent="0.3">
      <c r="A7" s="9" t="s">
        <v>398</v>
      </c>
      <c r="B7">
        <v>648045</v>
      </c>
      <c r="E7" s="9" t="s">
        <v>393</v>
      </c>
      <c r="F7" s="10">
        <v>759543</v>
      </c>
      <c r="K7"/>
    </row>
    <row r="8" spans="1:11" x14ac:dyDescent="0.3">
      <c r="A8" s="9" t="s">
        <v>475</v>
      </c>
      <c r="B8">
        <v>92290</v>
      </c>
      <c r="E8" s="9" t="s">
        <v>469</v>
      </c>
      <c r="F8" s="10">
        <v>2897337</v>
      </c>
      <c r="K8"/>
    </row>
    <row r="9" spans="1:11" x14ac:dyDescent="0.3">
      <c r="A9" s="9" t="s">
        <v>469</v>
      </c>
      <c r="B9">
        <v>2897337</v>
      </c>
      <c r="K9"/>
    </row>
    <row r="10" spans="1:11" x14ac:dyDescent="0.3">
      <c r="K10"/>
    </row>
    <row r="11" spans="1:11" x14ac:dyDescent="0.3">
      <c r="E11" s="8" t="s">
        <v>468</v>
      </c>
      <c r="F11" t="s">
        <v>478</v>
      </c>
      <c r="G11" t="s">
        <v>479</v>
      </c>
      <c r="K11"/>
    </row>
    <row r="12" spans="1:11" x14ac:dyDescent="0.3">
      <c r="A12" s="13" t="s">
        <v>468</v>
      </c>
      <c r="B12" s="11" t="s">
        <v>470</v>
      </c>
      <c r="E12" s="9">
        <v>50000</v>
      </c>
      <c r="F12">
        <v>-1347948</v>
      </c>
      <c r="G12" s="21">
        <v>0.29055368421052641</v>
      </c>
    </row>
    <row r="13" spans="1:11" x14ac:dyDescent="0.3">
      <c r="A13" s="14" t="s">
        <v>392</v>
      </c>
      <c r="B13" s="11">
        <v>42</v>
      </c>
      <c r="E13" s="9">
        <v>70000</v>
      </c>
      <c r="F13">
        <v>-2242002</v>
      </c>
      <c r="G13" s="21">
        <v>0.17875384615384615</v>
      </c>
    </row>
    <row r="14" spans="1:11" x14ac:dyDescent="0.3">
      <c r="A14" s="14" t="s">
        <v>403</v>
      </c>
      <c r="B14" s="11">
        <v>5</v>
      </c>
      <c r="E14" s="9">
        <v>75000</v>
      </c>
      <c r="F14">
        <v>-2671078</v>
      </c>
      <c r="G14" s="21">
        <v>0.19058242424242425</v>
      </c>
    </row>
    <row r="15" spans="1:11" x14ac:dyDescent="0.3">
      <c r="A15" s="14" t="s">
        <v>390</v>
      </c>
      <c r="B15" s="11">
        <v>50</v>
      </c>
      <c r="E15" s="9">
        <v>100000</v>
      </c>
      <c r="F15">
        <v>-2911970</v>
      </c>
      <c r="G15" s="21">
        <v>0.14353823529411763</v>
      </c>
    </row>
    <row r="16" spans="1:11" x14ac:dyDescent="0.3">
      <c r="A16" s="14" t="s">
        <v>391</v>
      </c>
      <c r="B16" s="11">
        <v>47</v>
      </c>
      <c r="E16" s="9">
        <v>60000</v>
      </c>
      <c r="F16">
        <v>-1751955</v>
      </c>
      <c r="G16" s="21">
        <v>0.27001874999999992</v>
      </c>
    </row>
    <row r="17" spans="1:7" x14ac:dyDescent="0.3">
      <c r="A17" s="14" t="s">
        <v>393</v>
      </c>
      <c r="B17" s="11">
        <v>56</v>
      </c>
      <c r="E17" s="9">
        <v>20000</v>
      </c>
      <c r="F17">
        <v>-7710</v>
      </c>
      <c r="G17" s="21">
        <v>0.92289999999999994</v>
      </c>
    </row>
    <row r="18" spans="1:7" x14ac:dyDescent="0.3">
      <c r="A18" s="14" t="s">
        <v>469</v>
      </c>
      <c r="B18" s="11">
        <v>200</v>
      </c>
      <c r="E18" s="9" t="s">
        <v>469</v>
      </c>
      <c r="F18">
        <v>-10932663</v>
      </c>
      <c r="G18" s="21">
        <v>0.23346808333333335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EAC2-62D6-4059-AAA2-C732C82AA183}">
  <dimension ref="A1:W34"/>
  <sheetViews>
    <sheetView tabSelected="1" workbookViewId="0">
      <selection activeCell="S17" sqref="S17"/>
    </sheetView>
  </sheetViews>
  <sheetFormatPr defaultRowHeight="14.4" x14ac:dyDescent="0.3"/>
  <sheetData>
    <row r="1" spans="1:23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Row_Data</vt:lpstr>
      <vt:lpstr>Formulas &amp; Functions</vt:lpstr>
      <vt:lpstr>Pivot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Hagaragi</dc:creator>
  <cp:lastModifiedBy>Ashwini Hagaragi</cp:lastModifiedBy>
  <dcterms:created xsi:type="dcterms:W3CDTF">2025-11-08T16:35:22Z</dcterms:created>
  <dcterms:modified xsi:type="dcterms:W3CDTF">2025-11-09T10:06:08Z</dcterms:modified>
</cp:coreProperties>
</file>